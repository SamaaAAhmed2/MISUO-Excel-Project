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25851EE829A88597/Documents/"/>
    </mc:Choice>
  </mc:AlternateContent>
  <xr:revisionPtr revIDLastSave="986" documentId="8_{1CAC5692-8AF3-471C-965D-80966ECE0CF7}" xr6:coauthVersionLast="47" xr6:coauthVersionMax="47" xr10:uidLastSave="{3FAEB642-526F-4482-85B0-384C548EFC06}"/>
  <bookViews>
    <workbookView xWindow="-120" yWindow="-120" windowWidth="24240" windowHeight="13140" activeTab="2" xr2:uid="{00000000-000D-0000-FFFF-FFFF00000000}"/>
  </bookViews>
  <sheets>
    <sheet name="الارشادات" sheetId="3" r:id="rId1"/>
    <sheet name="pivot table" sheetId="6" r:id="rId2"/>
    <sheet name="DashBoard" sheetId="7" r:id="rId3"/>
    <sheet name="Cleaned" sheetId="5" r:id="rId4"/>
    <sheet name="البيانات" sheetId="1" r:id="rId5"/>
  </sheets>
  <definedNames>
    <definedName name="_xlnm._FilterDatabase" localSheetId="4" hidden="1">البيانات!$A$1:$U$88</definedName>
    <definedName name="ExternalData_2" localSheetId="3" hidden="1">'Cleaned'!$A$1:$W$121</definedName>
    <definedName name="Slicer_المحافظة">#N/A</definedName>
    <definedName name="Slicer_لون_القماش">#N/A</definedName>
  </definedNames>
  <calcPr calcId="191028"/>
  <pivotCaches>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7" i="6" l="1"/>
  <c r="I6" i="6"/>
  <c r="E6" i="6"/>
  <c r="A7" i="6"/>
  <c r="AF11" i="6"/>
  <c r="AP15" i="6"/>
  <c r="AB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7534AA-502B-48DF-824D-ABC9E0419D72}" keepAlive="1" name="Query - Cleaned" description="Connection to the 'Cleaned' query in the workbook." type="5" refreshedVersion="8" background="1" saveData="1">
    <dbPr connection="Provider=Microsoft.Mashup.OleDb.1;Data Source=$Workbook$;Location=Cleaned;Extended Properties=&quot;&quot;" command="SELECT * FROM [Cleaned]"/>
  </connection>
  <connection id="2" xr16:uid="{76574019-7301-46EB-AA86-C7F7B6E6C546}"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<sst xmlns="http://schemas.openxmlformats.org/spreadsheetml/2006/main" count="3776" uniqueCount="318">
  <si>
    <t>أسم العميل</t>
  </si>
  <si>
    <t>العنوان</t>
  </si>
  <si>
    <t>المنتج</t>
  </si>
  <si>
    <t>تاريخ التسليم</t>
  </si>
  <si>
    <t>المسئول عن التسليم</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</si>
  <si>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</si>
  <si>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</si>
  <si>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</si>
  <si>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</si>
  <si>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</si>
  <si>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</si>
  <si>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</si>
  <si>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مسبق الدفع</t>
  </si>
  <si>
    <t>محمود</t>
  </si>
  <si>
    <t>سعيد</t>
  </si>
  <si>
    <t>ساندرا</t>
  </si>
  <si>
    <t xml:space="preserve">الغردقه </t>
  </si>
  <si>
    <t xml:space="preserve">زينا </t>
  </si>
  <si>
    <t xml:space="preserve">شيك هومز </t>
  </si>
  <si>
    <t xml:space="preserve">احمد </t>
  </si>
  <si>
    <t xml:space="preserve">فشل التسليم </t>
  </si>
  <si>
    <t xml:space="preserve">تاكى </t>
  </si>
  <si>
    <t>العباسيه</t>
  </si>
  <si>
    <t>تاكى</t>
  </si>
  <si>
    <t xml:space="preserve">العباسيه </t>
  </si>
  <si>
    <t xml:space="preserve">على رشوان </t>
  </si>
  <si>
    <t>مصر الجديده</t>
  </si>
  <si>
    <t>شيك هومز</t>
  </si>
  <si>
    <t xml:space="preserve">فيصل نعيم </t>
  </si>
  <si>
    <t xml:space="preserve">اوسكار ريتن </t>
  </si>
  <si>
    <t xml:space="preserve">مدينه نصر </t>
  </si>
  <si>
    <t xml:space="preserve">لينا </t>
  </si>
  <si>
    <t xml:space="preserve">المقطم </t>
  </si>
  <si>
    <t xml:space="preserve">احمد فخرى </t>
  </si>
  <si>
    <t>القاهره الجديده</t>
  </si>
  <si>
    <t>حسن حازم</t>
  </si>
  <si>
    <t xml:space="preserve">رنا </t>
  </si>
  <si>
    <t xml:space="preserve">القطاميه </t>
  </si>
  <si>
    <t xml:space="preserve">على السيد </t>
  </si>
  <si>
    <t xml:space="preserve">هشام بسيونى </t>
  </si>
  <si>
    <t xml:space="preserve">حدايق الاهرام </t>
  </si>
  <si>
    <t>عبير نور الدين</t>
  </si>
  <si>
    <t>اوسكار راتن</t>
  </si>
  <si>
    <t>حساب شركه</t>
  </si>
  <si>
    <t xml:space="preserve">ساره وجيه </t>
  </si>
  <si>
    <t xml:space="preserve">مها </t>
  </si>
  <si>
    <t xml:space="preserve">اسراء ابو العنين </t>
  </si>
  <si>
    <t xml:space="preserve">بسام الشربينى </t>
  </si>
  <si>
    <t>وائل صادق</t>
  </si>
  <si>
    <t xml:space="preserve">هبه عبد الفتاح </t>
  </si>
  <si>
    <t xml:space="preserve">القاهره الجديده </t>
  </si>
  <si>
    <t xml:space="preserve">حاتم العيسوي </t>
  </si>
  <si>
    <t>صفاء</t>
  </si>
  <si>
    <t>المعادى</t>
  </si>
  <si>
    <t xml:space="preserve">اسراء ابراهيم </t>
  </si>
  <si>
    <t xml:space="preserve">طارق كمال </t>
  </si>
  <si>
    <t xml:space="preserve">مصطفي غنيم </t>
  </si>
  <si>
    <t xml:space="preserve">اسيوط </t>
  </si>
  <si>
    <t xml:space="preserve">مسبق الدفع </t>
  </si>
  <si>
    <t>حسام عبدون</t>
  </si>
  <si>
    <t>الغردقه</t>
  </si>
  <si>
    <t xml:space="preserve">اياد </t>
  </si>
  <si>
    <t>ميار خورشد</t>
  </si>
  <si>
    <t xml:space="preserve">عبد الله سيد </t>
  </si>
  <si>
    <t xml:space="preserve">كينج سونا </t>
  </si>
  <si>
    <t xml:space="preserve">رامى </t>
  </si>
  <si>
    <t xml:space="preserve">احمد خالد </t>
  </si>
  <si>
    <t>الرحاب</t>
  </si>
  <si>
    <t>ساره</t>
  </si>
  <si>
    <t>رحاب</t>
  </si>
  <si>
    <t xml:space="preserve">احمد ايمن </t>
  </si>
  <si>
    <t>العبور</t>
  </si>
  <si>
    <t xml:space="preserve">فؤاد المنسي </t>
  </si>
  <si>
    <t xml:space="preserve">ديفد بهجت </t>
  </si>
  <si>
    <t xml:space="preserve">حسن مغرب </t>
  </si>
  <si>
    <t>صفاء الحكيم</t>
  </si>
  <si>
    <t>العين السخنه</t>
  </si>
  <si>
    <t>يوسف شناوى</t>
  </si>
  <si>
    <t>سرير</t>
  </si>
  <si>
    <t>منطبق</t>
  </si>
  <si>
    <t>نوفال</t>
  </si>
  <si>
    <t>فردى</t>
  </si>
  <si>
    <t>كينج</t>
  </si>
  <si>
    <t>كيفنج</t>
  </si>
  <si>
    <t>اسبانى</t>
  </si>
  <si>
    <t>ركنة</t>
  </si>
  <si>
    <t>سحارة</t>
  </si>
  <si>
    <t>ركنة بسرير</t>
  </si>
  <si>
    <t>كنبة</t>
  </si>
  <si>
    <t>كرسى</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</si>
  <si>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</si>
  <si>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</si>
  <si>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</si>
  <si>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</si>
  <si>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</si>
  <si>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</si>
  <si>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</si>
  <si>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</si>
  <si>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</si>
  <si>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</si>
  <si>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</si>
  <si>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</si>
  <si>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</si>
  <si>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</si>
  <si>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</si>
  <si>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</si>
  <si>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</si>
  <si>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</si>
  <si>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</si>
  <si>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2 ميكانزم</t>
  </si>
  <si>
    <t>بمكتبة</t>
  </si>
  <si>
    <t>رف سحاب</t>
  </si>
  <si>
    <t>الحالة</t>
  </si>
  <si>
    <t>فشل التسليم</t>
  </si>
  <si>
    <t>لغى</t>
  </si>
  <si>
    <t>اسامه</t>
  </si>
  <si>
    <t>تم التسليم</t>
  </si>
  <si>
    <t>اسود وبنى</t>
  </si>
  <si>
    <t>ولاء بدوى</t>
  </si>
  <si>
    <t>عبد الرحمن يسري</t>
  </si>
  <si>
    <t xml:space="preserve">اسود </t>
  </si>
  <si>
    <t>مرتجع</t>
  </si>
  <si>
    <t>الحج محمد السويس</t>
  </si>
  <si>
    <t xml:space="preserve">السويس </t>
  </si>
  <si>
    <t>السويس</t>
  </si>
  <si>
    <t>فانتاستك</t>
  </si>
  <si>
    <t>ملون</t>
  </si>
  <si>
    <t>فنيسيا</t>
  </si>
  <si>
    <t>رصاصي مشجر</t>
  </si>
  <si>
    <t>بيج</t>
  </si>
  <si>
    <t>شيزلونج</t>
  </si>
  <si>
    <t xml:space="preserve">نبيتى </t>
  </si>
  <si>
    <t>عمرو الأسود</t>
  </si>
  <si>
    <t>الزمالك</t>
  </si>
  <si>
    <t xml:space="preserve">بترولى </t>
  </si>
  <si>
    <t xml:space="preserve">تم التسليم </t>
  </si>
  <si>
    <t xml:space="preserve">نوفال </t>
  </si>
  <si>
    <t>بينك</t>
  </si>
  <si>
    <t>هشام سامى</t>
  </si>
  <si>
    <t xml:space="preserve">منزلى </t>
  </si>
  <si>
    <t>بلحه</t>
  </si>
  <si>
    <t>خشب بنى فاتح</t>
  </si>
  <si>
    <t>الوان</t>
  </si>
  <si>
    <t>فاطمه محمد</t>
  </si>
  <si>
    <t>بولا هومزمارت</t>
  </si>
  <si>
    <t xml:space="preserve">محمد شكرى </t>
  </si>
  <si>
    <t>ارينا</t>
  </si>
  <si>
    <t>بترولى</t>
  </si>
  <si>
    <t>مسبق</t>
  </si>
  <si>
    <t>منزلى</t>
  </si>
  <si>
    <t>مدينتى</t>
  </si>
  <si>
    <t>حماده</t>
  </si>
  <si>
    <t>صفاء عبد الباقي</t>
  </si>
  <si>
    <t xml:space="preserve">كينج </t>
  </si>
  <si>
    <t xml:space="preserve">سرير </t>
  </si>
  <si>
    <t>المخزن</t>
  </si>
  <si>
    <t xml:space="preserve">دورين </t>
  </si>
  <si>
    <t xml:space="preserve">مرفوض </t>
  </si>
  <si>
    <t xml:space="preserve">رندا العامرى </t>
  </si>
  <si>
    <t xml:space="preserve">كيمت </t>
  </si>
  <si>
    <t xml:space="preserve">كيفنج </t>
  </si>
  <si>
    <t xml:space="preserve">فردى </t>
  </si>
  <si>
    <t>امريكى</t>
  </si>
  <si>
    <t>محمد حمدى</t>
  </si>
  <si>
    <t>فيسبوك</t>
  </si>
  <si>
    <t xml:space="preserve">كوين </t>
  </si>
  <si>
    <t xml:space="preserve">بافلى هانى </t>
  </si>
  <si>
    <t xml:space="preserve">شبرا </t>
  </si>
  <si>
    <t xml:space="preserve">اسبانى </t>
  </si>
  <si>
    <t>t1</t>
  </si>
  <si>
    <t>رنا ميلاد</t>
  </si>
  <si>
    <t>ترابيزه</t>
  </si>
  <si>
    <t>مكتبه</t>
  </si>
  <si>
    <t>محمد ناجى</t>
  </si>
  <si>
    <t xml:space="preserve">دوران </t>
  </si>
  <si>
    <t>ميكانزم</t>
  </si>
  <si>
    <t>ابيض في بنى غامق</t>
  </si>
  <si>
    <t>احمد عبد الستار</t>
  </si>
  <si>
    <t xml:space="preserve">نور </t>
  </si>
  <si>
    <t xml:space="preserve">ترابيزه </t>
  </si>
  <si>
    <t>بنى غامق</t>
  </si>
  <si>
    <t>نور</t>
  </si>
  <si>
    <t xml:space="preserve">هومزمارت </t>
  </si>
  <si>
    <t xml:space="preserve">بنى غامق </t>
  </si>
  <si>
    <t>تامر</t>
  </si>
  <si>
    <t xml:space="preserve">بيج </t>
  </si>
  <si>
    <t>هناء اسامه</t>
  </si>
  <si>
    <t>القطاميه</t>
  </si>
  <si>
    <t xml:space="preserve">محمد عادل </t>
  </si>
  <si>
    <t>مريم عنان</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</si>
  <si>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</si>
  <si>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</si>
  <si>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</si>
  <si>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</si>
  <si>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</si>
  <si>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</si>
  <si>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</si>
  <si>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</si>
  <si>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</si>
  <si>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</si>
  <si>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</si>
  <si>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</si>
  <si>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</si>
  <si>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</si>
  <si>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</si>
  <si>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</si>
  <si>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</si>
  <si>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</si>
  <si>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اسم المنتج</t>
  </si>
  <si>
    <t>نوع المنتج</t>
  </si>
  <si>
    <t>غير محدد</t>
  </si>
  <si>
    <t>يلماز</t>
  </si>
  <si>
    <t>اللهو الخفي</t>
  </si>
  <si>
    <t>مهند</t>
  </si>
  <si>
    <t>محمد أيمن</t>
  </si>
  <si>
    <t>كيرا</t>
  </si>
  <si>
    <t>ريم</t>
  </si>
  <si>
    <t>Column1</t>
  </si>
  <si>
    <t>مدينة بدر</t>
  </si>
  <si>
    <t xml:space="preserve"> كومبوند جولدن جستس </t>
  </si>
  <si>
    <t>مدينه نصر</t>
  </si>
  <si>
    <t xml:space="preserve">العجوزه </t>
  </si>
  <si>
    <t xml:space="preserve"> الجيزه</t>
  </si>
  <si>
    <t xml:space="preserve">سموحه </t>
  </si>
  <si>
    <t xml:space="preserve"> الإسكندرية</t>
  </si>
  <si>
    <t xml:space="preserve">سيدى عبد الرحمن </t>
  </si>
  <si>
    <t xml:space="preserve"> الساحل الشمالى </t>
  </si>
  <si>
    <t xml:space="preserve">التجمع </t>
  </si>
  <si>
    <t xml:space="preserve"> القاهره الجديده</t>
  </si>
  <si>
    <t xml:space="preserve">اكتوبر </t>
  </si>
  <si>
    <t xml:space="preserve">مخزن اوسكار </t>
  </si>
  <si>
    <t xml:space="preserve"> القناطر </t>
  </si>
  <si>
    <t xml:space="preserve">الابراهيميه </t>
  </si>
  <si>
    <t xml:space="preserve"> الإسكندرية </t>
  </si>
  <si>
    <t xml:space="preserve">بولاق </t>
  </si>
  <si>
    <t xml:space="preserve">الشروق </t>
  </si>
  <si>
    <t xml:space="preserve"> القاهره </t>
  </si>
  <si>
    <t xml:space="preserve">لافيستا </t>
  </si>
  <si>
    <t xml:space="preserve"> العين السخنه </t>
  </si>
  <si>
    <t xml:space="preserve">فيصل </t>
  </si>
  <si>
    <t xml:space="preserve">مخزن </t>
  </si>
  <si>
    <t xml:space="preserve"> شيك هومز</t>
  </si>
  <si>
    <t xml:space="preserve">البطاش </t>
  </si>
  <si>
    <t xml:space="preserve">جليم </t>
  </si>
  <si>
    <t xml:space="preserve">المندره </t>
  </si>
  <si>
    <t>100/140</t>
  </si>
  <si>
    <t>ركنه</t>
  </si>
  <si>
    <t>رمادي</t>
  </si>
  <si>
    <t>فوتيه فنيسيا</t>
  </si>
  <si>
    <t>سرير كيفنج</t>
  </si>
  <si>
    <t>سرير فورجينا</t>
  </si>
  <si>
    <t>سرير اسبانى</t>
  </si>
  <si>
    <t>العدد</t>
  </si>
  <si>
    <t>سرير استيل</t>
  </si>
  <si>
    <t>كنبه سرير</t>
  </si>
  <si>
    <t>سرير نوفال</t>
  </si>
  <si>
    <t>سرير منطبق</t>
  </si>
  <si>
    <t>سرير كينج</t>
  </si>
  <si>
    <t>سرير كوين</t>
  </si>
  <si>
    <t>ترابيزه قهوه مرتفعه برف سحاب</t>
  </si>
  <si>
    <t>ترابيزه قهوه مرتفعه</t>
  </si>
  <si>
    <t>ترابيزه قهوه متحركه</t>
  </si>
  <si>
    <t>سرير فردى</t>
  </si>
  <si>
    <t>تربيزه قهوه مرتفعه</t>
  </si>
  <si>
    <t>كنبه سحاره بمخدع</t>
  </si>
  <si>
    <t>كنبه سحاره بدون مخدع</t>
  </si>
  <si>
    <t>سرير كيفنج دورين</t>
  </si>
  <si>
    <t>سرير فردى خشب موسكى الحديد</t>
  </si>
  <si>
    <t>سرير منطبق حديد</t>
  </si>
  <si>
    <t>سرير ارفيل</t>
  </si>
  <si>
    <t>سرير ادوار</t>
  </si>
  <si>
    <t>كنبه سرير حركه</t>
  </si>
  <si>
    <t xml:space="preserve">شركه شحن </t>
  </si>
  <si>
    <t xml:space="preserve">الحج سيد </t>
  </si>
  <si>
    <t xml:space="preserve">محمود على </t>
  </si>
  <si>
    <t>اسودوبنى</t>
  </si>
  <si>
    <t>المحافظة</t>
  </si>
  <si>
    <t>ترابيزه 2 ميكانزم</t>
  </si>
  <si>
    <t>ترابيزه دوران</t>
  </si>
  <si>
    <t>سرير دورين</t>
  </si>
  <si>
    <t>ترابيزه رف سحاب</t>
  </si>
  <si>
    <t>سرير فردي</t>
  </si>
  <si>
    <t>كنبة فنيسيا</t>
  </si>
  <si>
    <t>كنبة t1</t>
  </si>
  <si>
    <t>حالة الطلب</t>
  </si>
  <si>
    <t>حالة البيع</t>
  </si>
  <si>
    <t>Early</t>
  </si>
  <si>
    <t>Sold</t>
  </si>
  <si>
    <t>On Time</t>
  </si>
  <si>
    <t>Returned</t>
  </si>
  <si>
    <t>Late</t>
  </si>
  <si>
    <t>عبير نورالدين</t>
  </si>
  <si>
    <t xml:space="preserve"> القاهره</t>
  </si>
  <si>
    <t>سيدى عبد الرحمن الساحل</t>
  </si>
  <si>
    <t>إجمالي المبيعات</t>
  </si>
  <si>
    <t>Grand Total</t>
  </si>
  <si>
    <t>عدد الطلبات</t>
  </si>
  <si>
    <t>مجموع سعر البيع</t>
  </si>
  <si>
    <t>متوسط سعر البيع</t>
  </si>
  <si>
    <t>عدد المنتجات المباعه حسب المنصه</t>
  </si>
  <si>
    <t>المنصه</t>
  </si>
  <si>
    <t>مجموع المنتجات</t>
  </si>
  <si>
    <t>المنتج الأكثر مبيعا</t>
  </si>
  <si>
    <t>اللون الأكثر مبيعا</t>
  </si>
  <si>
    <t>نسبة الطلبات المسلمه في الموعد</t>
  </si>
  <si>
    <t>Sum of on time orders</t>
  </si>
  <si>
    <t>نسبة الطلبات الملغاة</t>
  </si>
  <si>
    <t>Sum of cancelled orders</t>
  </si>
  <si>
    <t>المدينة الأكثر مبيعا</t>
  </si>
  <si>
    <t>عدد العملاء</t>
  </si>
  <si>
    <t>اللون</t>
  </si>
  <si>
    <t>مجموع الألوان</t>
  </si>
  <si>
    <t>النسبة</t>
  </si>
  <si>
    <t>المدينة</t>
  </si>
  <si>
    <t>المجموع</t>
  </si>
  <si>
    <t>Count of المنتج</t>
  </si>
  <si>
    <t>مخزن ابو الغيطابو الغيطابو الغيطابو الغيطابو الغيطابو الغيطابو الغيط</t>
  </si>
  <si>
    <t>مجموع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</si>
</sst>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2000000]dd/mm/yyyy"/>
    <numFmt numFmtId="165" formatCode="[$-2000401]0"/>
    <numFmt numFmtId="166" formatCode="_(* #,##0_);_(* \(#,##0\);_(* &quot;-&quot;??_);_(@_)"/>
  </numFmts>
  <fonts count="21" x14ac:knownFonts="1">
    <font>
      <sz val="11"/>
      <color theme="1"/>
      <name val="Calibri"/>
      <family val="2"/>
      <scheme val="minor"/>
    </font>
    <font>
      <b/>
      <sz val="12"/>
      <color theme="1"/>
      <name val="Calibri"/>
      <family val="2"/>
      <scheme val="minor"/>
    </font>
    <font>
      <sz val="1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4"/>
      <name val="Calibri"/>
      <family val="2"/>
      <scheme val="minor"/>
    </font>
    <font>
      <sz val="10"/>
      <name val="Calibri"/>
      <family val="2"/>
      <scheme val="minor"/>
    </font>
    <font>
      <sz val="8"/>
      <name val="Calibri"/>
      <family val="2"/>
      <scheme val="minor"/>
    </font>
    <font>
      <sz val="12"/>
      <name val="Calibri"/>
      <family val="2"/>
      <scheme val="minor"/>
    </font>
    <font>
      <b/>
      <sz val="12"/>
      <name val="Calibri"/>
      <family val="2"/>
      <scheme val="minor"/>
    </font>
    <font>
      <b/>
      <sz val="11"/>
      <name val="Calibri"/>
      <family val="2"/>
      <scheme val="minor"/>
    </font>
    <font>
      <sz val="9"/>
      <name val="Calibri"/>
      <family val="2"/>
      <scheme val="minor"/>
    </font>
    <font>
      <sz val="16"/>
      <name val="Calibri"/>
      <family val="2"/>
      <scheme val="minor"/>
    </font>
    <font>
      <sz val="11"/>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8" tint="-0.249977111117893"/>
        <bgColor indexed="64"/>
      </patternFill>
    </fill>
    <fill>
      <patternFill patternType="solid">
        <fgColor rgb="FF18254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theme="4" tint="0.39997558519241921"/>
      </top>
      <bottom/>
      <diagonal/>
    </border>
  </borders>
  <cellStyleXfs count="3">
    <xf numFmtId="0" fontId="0" fillId="0" borderId="0"/>
    <xf numFmtId="9" fontId="19" fillId="0" borderId="0" applyFont="0" applyFill="0" applyBorder="0" applyAlignment="0" applyProtection="0"/>
    <xf numFmtId="43" fontId="19" fillId="0" borderId="0" applyFont="0" applyFill="0" applyBorder="0" applyAlignment="0" applyProtection="0"/>
  </cellStyleXfs>
  <cellXfs count="70">
    <xf numFmtId="0" fontId="0" fillId="0" borderId="0" xfId="0"/>
    <xf numFmtId="0" fontId="3"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8" fillId="0" borderId="0" xfId="0" applyFont="1" applyAlignment="1">
      <alignment horizontal="right" indent="2"/>
    </xf>
    <xf numFmtId="0" fontId="0" fillId="2" borderId="0" xfId="0" applyFill="1" applyAlignment="1">
      <alignment horizontal="right" vertical="center"/>
    </xf>
    <xf numFmtId="0" fontId="2" fillId="2" borderId="1" xfId="0" applyFont="1" applyFill="1" applyBorder="1" applyAlignment="1">
      <alignment horizontal="center" vertical="center"/>
    </xf>
    <xf numFmtId="2" fontId="2" fillId="2" borderId="1" xfId="0" applyNumberFormat="1" applyFont="1" applyFill="1" applyBorder="1" applyAlignment="1">
      <alignment horizontal="center" vertical="center"/>
    </xf>
    <xf numFmtId="14" fontId="2" fillId="2" borderId="1" xfId="0" applyNumberFormat="1" applyFont="1" applyFill="1" applyBorder="1" applyAlignment="1">
      <alignment horizontal="center" vertical="center"/>
    </xf>
    <xf numFmtId="0" fontId="2" fillId="2" borderId="2" xfId="0" applyFont="1" applyFill="1" applyBorder="1" applyAlignment="1">
      <alignment horizontal="right" vertical="center"/>
    </xf>
    <xf numFmtId="2" fontId="0" fillId="2" borderId="0" xfId="0" applyNumberFormat="1" applyFill="1" applyAlignment="1">
      <alignment horizontal="right" vertical="center"/>
    </xf>
    <xf numFmtId="0" fontId="0" fillId="2" borderId="0" xfId="0" applyFill="1"/>
    <xf numFmtId="0" fontId="1" fillId="3" borderId="3" xfId="0" applyFont="1" applyFill="1" applyBorder="1" applyAlignment="1">
      <alignment horizontal="center" vertical="center"/>
    </xf>
    <xf numFmtId="0" fontId="1" fillId="3" borderId="4" xfId="0" applyFont="1" applyFill="1" applyBorder="1" applyAlignment="1">
      <alignment horizontal="right" vertical="center"/>
    </xf>
    <xf numFmtId="2" fontId="1" fillId="3" borderId="3" xfId="0" applyNumberFormat="1" applyFont="1" applyFill="1" applyBorder="1" applyAlignment="1">
      <alignment horizontal="center" vertical="center"/>
    </xf>
    <xf numFmtId="0" fontId="0" fillId="3" borderId="3" xfId="0" applyFill="1" applyBorder="1" applyAlignment="1">
      <alignment horizontal="center" vertical="center"/>
    </xf>
    <xf numFmtId="1" fontId="12" fillId="2" borderId="1" xfId="0" applyNumberFormat="1" applyFont="1" applyFill="1" applyBorder="1" applyAlignment="1">
      <alignment horizontal="center"/>
    </xf>
    <xf numFmtId="1" fontId="14" fillId="2" borderId="1" xfId="0" applyNumberFormat="1" applyFont="1" applyFill="1" applyBorder="1" applyAlignment="1">
      <alignment horizontal="center"/>
    </xf>
    <xf numFmtId="0" fontId="14" fillId="2" borderId="1" xfId="0" applyFont="1" applyFill="1" applyBorder="1" applyAlignment="1">
      <alignment horizontal="center"/>
    </xf>
    <xf numFmtId="0" fontId="14" fillId="2" borderId="1" xfId="0" applyFont="1" applyFill="1" applyBorder="1" applyAlignment="1">
      <alignment horizontal="center" vertical="center"/>
    </xf>
    <xf numFmtId="0" fontId="14" fillId="2" borderId="2" xfId="0" applyFont="1" applyFill="1" applyBorder="1" applyAlignment="1">
      <alignment horizontal="right" vertical="center"/>
    </xf>
    <xf numFmtId="2" fontId="14" fillId="2" borderId="1" xfId="0" applyNumberFormat="1" applyFont="1" applyFill="1" applyBorder="1" applyAlignment="1">
      <alignment horizontal="center" vertical="center"/>
    </xf>
    <xf numFmtId="14" fontId="14"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1" fontId="14" fillId="2" borderId="3" xfId="0" applyNumberFormat="1" applyFont="1" applyFill="1" applyBorder="1" applyAlignment="1">
      <alignment horizontal="center" vertical="center"/>
    </xf>
    <xf numFmtId="0" fontId="2" fillId="2" borderId="3" xfId="0" applyFont="1" applyFill="1" applyBorder="1" applyAlignment="1">
      <alignment horizontal="right" vertical="center"/>
    </xf>
    <xf numFmtId="0" fontId="2" fillId="2" borderId="1" xfId="0" applyFont="1" applyFill="1" applyBorder="1" applyAlignment="1">
      <alignment horizontal="right" vertical="center"/>
    </xf>
    <xf numFmtId="2" fontId="2" fillId="2" borderId="3" xfId="0" applyNumberFormat="1" applyFont="1" applyFill="1" applyBorder="1" applyAlignment="1">
      <alignment horizontal="right" vertical="center"/>
    </xf>
    <xf numFmtId="164" fontId="2" fillId="2" borderId="3" xfId="0" applyNumberFormat="1" applyFont="1" applyFill="1" applyBorder="1" applyAlignment="1">
      <alignment horizontal="right" vertical="center"/>
    </xf>
    <xf numFmtId="1" fontId="2" fillId="2" borderId="3" xfId="0" applyNumberFormat="1" applyFont="1" applyFill="1" applyBorder="1" applyAlignment="1">
      <alignment horizontal="center" vertical="center"/>
    </xf>
    <xf numFmtId="2" fontId="2" fillId="2" borderId="1" xfId="0" applyNumberFormat="1" applyFont="1" applyFill="1" applyBorder="1" applyAlignment="1">
      <alignment horizontal="right" vertical="center"/>
    </xf>
    <xf numFmtId="164" fontId="2" fillId="2" borderId="1" xfId="0" applyNumberFormat="1" applyFont="1" applyFill="1" applyBorder="1" applyAlignment="1">
      <alignment horizontal="right" vertical="center"/>
    </xf>
    <xf numFmtId="14" fontId="2" fillId="2" borderId="1" xfId="0" applyNumberFormat="1" applyFont="1" applyFill="1" applyBorder="1" applyAlignment="1">
      <alignment horizontal="right" vertical="center"/>
    </xf>
    <xf numFmtId="14" fontId="2" fillId="2" borderId="3" xfId="0" applyNumberFormat="1" applyFont="1" applyFill="1" applyBorder="1" applyAlignment="1">
      <alignment horizontal="right" vertical="center"/>
    </xf>
    <xf numFmtId="0" fontId="2" fillId="2" borderId="0" xfId="0" applyFont="1" applyFill="1" applyAlignment="1">
      <alignment horizontal="right" vertical="center"/>
    </xf>
    <xf numFmtId="1" fontId="12" fillId="2" borderId="0" xfId="0" applyNumberFormat="1" applyFont="1" applyFill="1" applyAlignment="1">
      <alignment horizontal="center"/>
    </xf>
    <xf numFmtId="0" fontId="16" fillId="2" borderId="1" xfId="0" applyFont="1" applyFill="1" applyBorder="1" applyAlignment="1">
      <alignment horizontal="center" vertical="center"/>
    </xf>
    <xf numFmtId="1" fontId="2" fillId="2" borderId="0" xfId="0" applyNumberFormat="1" applyFont="1" applyFill="1" applyAlignment="1">
      <alignment horizontal="center" vertical="center"/>
    </xf>
    <xf numFmtId="1" fontId="2" fillId="2" borderId="1" xfId="0" applyNumberFormat="1" applyFont="1" applyFill="1" applyBorder="1" applyAlignment="1">
      <alignment horizontal="center" vertical="center"/>
    </xf>
    <xf numFmtId="165" fontId="2" fillId="2" borderId="1" xfId="0" applyNumberFormat="1" applyFont="1" applyFill="1" applyBorder="1" applyAlignment="1">
      <alignment horizontal="right" vertical="center"/>
    </xf>
    <xf numFmtId="1" fontId="17" fillId="2" borderId="0" xfId="0" applyNumberFormat="1" applyFont="1" applyFill="1" applyAlignment="1">
      <alignment horizontal="center" wrapText="1"/>
    </xf>
    <xf numFmtId="0" fontId="18" fillId="2" borderId="0" xfId="0" applyFont="1" applyFill="1"/>
    <xf numFmtId="1" fontId="11" fillId="2" borderId="0" xfId="0" applyNumberFormat="1" applyFont="1" applyFill="1" applyAlignment="1">
      <alignment horizontal="center" wrapText="1"/>
    </xf>
    <xf numFmtId="1" fontId="12" fillId="2" borderId="0" xfId="0" applyNumberFormat="1" applyFont="1" applyFill="1" applyAlignment="1">
      <alignment horizontal="center" wrapText="1"/>
    </xf>
    <xf numFmtId="0" fontId="2" fillId="2" borderId="3" xfId="0" applyFont="1" applyFill="1" applyBorder="1" applyAlignment="1">
      <alignment horizontal="center" vertical="center"/>
    </xf>
    <xf numFmtId="165" fontId="2" fillId="2" borderId="2" xfId="0" applyNumberFormat="1" applyFont="1" applyFill="1" applyBorder="1" applyAlignment="1">
      <alignment horizontal="right" vertical="center"/>
    </xf>
    <xf numFmtId="1" fontId="2" fillId="2" borderId="1" xfId="0" applyNumberFormat="1" applyFont="1" applyFill="1" applyBorder="1" applyAlignment="1">
      <alignment horizontal="right" vertical="center"/>
    </xf>
    <xf numFmtId="1" fontId="0" fillId="0" borderId="0" xfId="0" applyNumberFormat="1"/>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4" borderId="0" xfId="0" applyFill="1"/>
    <xf numFmtId="0" fontId="0" fillId="6" borderId="0" xfId="0" applyFill="1" applyAlignment="1">
      <alignment horizontal="left"/>
    </xf>
    <xf numFmtId="9" fontId="0" fillId="0" borderId="0" xfId="0" applyNumberFormat="1"/>
    <xf numFmtId="9" fontId="3" fillId="5" borderId="5" xfId="1" applyFont="1" applyFill="1" applyBorder="1" applyAlignment="1">
      <alignment horizontal="center" vertical="center"/>
    </xf>
    <xf numFmtId="0" fontId="0" fillId="0" borderId="0" xfId="0" applyAlignment="1">
      <alignment horizontal="center" vertical="center"/>
    </xf>
    <xf numFmtId="166" fontId="0" fillId="0" borderId="0" xfId="2" applyNumberFormat="1" applyFont="1"/>
    <xf numFmtId="0" fontId="0" fillId="0" borderId="0" xfId="0" pivotButton="1" applyAlignment="1">
      <alignment horizontal="center" vertical="center"/>
    </xf>
    <xf numFmtId="0" fontId="0" fillId="7" borderId="0" xfId="0" applyFill="1"/>
    <xf numFmtId="0" fontId="20" fillId="4" borderId="0" xfId="0" applyFont="1" applyFill="1" applyAlignment="1">
      <alignment horizontal="center" vertical="center"/>
    </xf>
    <xf numFmtId="0" fontId="0" fillId="4" borderId="0" xfId="0" applyFill="1" applyAlignment="1">
      <alignment horizontal="center"/>
    </xf>
    <xf numFmtId="0" fontId="0" fillId="0" borderId="0" xfId="0" applyNumberFormat="1"/>
    <xf numFmtId="0" fontId="0" fillId="6" borderId="0" xfId="0" applyNumberFormat="1" applyFill="1"/>
  </cellXfs>
  <cellStyles count="3">
    <cellStyle name="Comma" xfId="2" builtinId="3"/>
    <cellStyle name="Normal" xfId="0" builtinId="0"/>
    <cellStyle name="Percent" xfId="1" builtinId="5"/>
  </cellStyles>
  <dxfs count="77">
    <dxf>
      <numFmt numFmtId="166" formatCode="_(* #,##0_);_(* \(#,##0\);_(* &quot;-&quot;??_);_(@_)"/>
    </dxf>
    <dxf>
      <alignment vertical="center"/>
    </dxf>
    <dxf>
      <alignment horizontal="center"/>
    </dxf>
    <dxf>
      <numFmt numFmtId="13" formatCode="0%"/>
    </dxf>
    <dxf>
      <fill>
        <patternFill patternType="solid">
          <bgColor theme="8" tint="-0.249977111117893"/>
        </patternFill>
      </fill>
    </dxf>
    <dxf>
      <fill>
        <patternFill patternType="solid">
          <bgColor theme="8" tint="-0.249977111117893"/>
        </patternFill>
      </fill>
    </dxf>
    <dxf>
      <numFmt numFmtId="166" formatCode="_(* #,##0_);_(* \(#,##0\);_(* &quot;-&quot;??_);_(@_)"/>
    </dxf>
    <dxf>
      <alignment vertical="center"/>
    </dxf>
    <dxf>
      <alignment horizontal="center"/>
    </dxf>
    <dxf>
      <numFmt numFmtId="1" formatCode="0"/>
    </dxf>
    <dxf>
      <numFmt numFmtId="1" formatCode="0"/>
    </dxf>
    <dxf>
      <numFmt numFmtId="13" formatCode="0%"/>
    </dxf>
    <dxf>
      <font>
        <strike val="0"/>
        <outline val="0"/>
        <shadow val="0"/>
        <u val="none"/>
        <vertAlign val="baseline"/>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numFmt numFmtId="19" formatCode="m/d/yyyy"/>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numFmt numFmtId="19" formatCode="m/d/yyyy"/>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numFmt numFmtId="19" formatCode="m/d/yyyy"/>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numFmt numFmtId="2" formatCode="0.00"/>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numFmt numFmtId="1"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libri"/>
        <family val="2"/>
        <scheme val="minor"/>
      </font>
      <numFmt numFmtId="1" formatCode="0"/>
      <alignment horizontal="center" textRotation="0" indent="0" justifyLastLine="0" shrinkToFit="0" readingOrder="0"/>
    </dxf>
    <dxf>
      <border outline="0">
        <top style="thin">
          <color indexed="64"/>
        </top>
      </border>
    </dxf>
    <dxf>
      <font>
        <strike val="0"/>
        <outline val="0"/>
        <shadow val="0"/>
        <u val="none"/>
        <vertAlign val="baseline"/>
        <color auto="1"/>
        <name val="Calibri"/>
        <family val="2"/>
        <scheme val="minor"/>
      </font>
      <fill>
        <patternFill patternType="solid">
          <fgColor indexed="64"/>
          <bgColor theme="0"/>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 formatCode="0"/>
    </dxf>
    <dxf>
      <numFmt numFmtId="1" formatCode="0"/>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3" formatCode="0%"/>
    </dxf>
    <dxf>
      <numFmt numFmtId="1" formatCode="0"/>
    </dxf>
    <dxf>
      <numFmt numFmtId="1" formatCode="0"/>
    </dxf>
    <dxf>
      <alignment horizontal="center"/>
    </dxf>
    <dxf>
      <alignment vertical="center"/>
    </dxf>
    <dxf>
      <numFmt numFmtId="166" formatCode="_(* #,##0_);_(* \(#,##0\);_(* &quot;-&quot;??_);_(@_)"/>
    </dxf>
    <dxf>
      <fill>
        <patternFill patternType="solid">
          <bgColor theme="8" tint="-0.249977111117893"/>
        </patternFill>
      </fill>
    </dxf>
    <dxf>
      <fill>
        <patternFill patternType="solid">
          <bgColor theme="8" tint="-0.249977111117893"/>
        </patternFill>
      </fill>
    </dxf>
    <dxf>
      <numFmt numFmtId="13" formatCode="0%"/>
    </dxf>
    <dxf>
      <alignment horizontal="center"/>
    </dxf>
    <dxf>
      <alignment vertical="center"/>
    </dxf>
    <dxf>
      <numFmt numFmtId="166" formatCode="_(* #,##0_);_(* \(#,##0\);_(* &quot;-&quot;??_);_(@_)"/>
    </dxf>
    <dxf>
      <font>
        <b/>
        <i val="0"/>
        <color rgb="FFBF0426"/>
      </font>
      <fill>
        <patternFill>
          <bgColor rgb="FFFFFFFF"/>
        </patternFill>
      </fill>
    </dxf>
    <dxf>
      <font>
        <b/>
        <i val="0"/>
        <color rgb="FFBF0426"/>
      </font>
      <fill>
        <patternFill>
          <bgColor rgb="FFF2F2F2"/>
        </patternFill>
      </fill>
      <border diagonalUp="0" diagonalDown="0">
        <left/>
        <right/>
        <top/>
        <bottom/>
        <vertical/>
        <horizontal/>
      </border>
    </dxf>
    <dxf>
      <font>
        <b/>
        <i val="0"/>
        <color rgb="FFF2F2F2"/>
      </font>
      <fill>
        <patternFill>
          <bgColor rgb="FF192E59"/>
        </patternFill>
      </fill>
      <border diagonalUp="0" diagonalDown="0">
        <left/>
        <right/>
        <top/>
        <bottom/>
        <vertical/>
        <horizontal/>
      </border>
    </dxf>
    <dxf>
      <font>
        <color rgb="FFF2F2F2"/>
      </font>
      <fill>
        <patternFill>
          <bgColor rgb="FF192E59"/>
        </patternFill>
      </fill>
    </dxf>
    <dxf>
      <fill>
        <patternFill>
          <bgColor rgb="FF192E59"/>
        </patternFill>
      </fill>
    </dxf>
  </dxfs>
  <tableStyles count="6" defaultTableStyle="TableStyleMedium2" defaultPivotStyle="PivotStyleLight16">
    <tableStyle name="Invisible" pivot="0" table="0" count="0" xr9:uid="{AA73528B-8D85-432A-9172-AA70B5E8C669}"/>
    <tableStyle name="Slicer Style 1" pivot="0" table="0" count="1" xr9:uid="{A7D373AD-2697-41D1-899D-992F318D8F22}">
      <tableStyleElement type="wholeTable" dxfId="76"/>
    </tableStyle>
    <tableStyle name="Slicer Style 2" pivot="0" table="0" count="1" xr9:uid="{660C8AB3-C3EF-4B70-BB6C-6117822396E8}">
      <tableStyleElement type="wholeTable" dxfId="75"/>
    </tableStyle>
    <tableStyle name="Slicer Style 3" pivot="0" table="0" count="1" xr9:uid="{A6633718-1387-41F9-88BD-83527A660194}">
      <tableStyleElement type="wholeTable" dxfId="74"/>
    </tableStyle>
    <tableStyle name="Slicer Style 4" pivot="0" table="0" count="1" xr9:uid="{154345AD-21E6-42BD-AB7E-59B57E95DA54}">
      <tableStyleElement type="wholeTable" dxfId="73"/>
    </tableStyle>
    <tableStyle name="Slicer Style 5" pivot="0" table="0" count="1" xr9:uid="{308F9A44-81A2-4925-9FB6-0D72C833236D}">
      <tableStyleElement type="wholeTable" dxfId="72"/>
    </tableStyle>
  </tableStyles>
  <colors>
    <mruColors>
      <color rgb="FFFFFFFF"/>
      <color rgb="FFF2F2F2"/>
      <color rgb="FF182540"/>
      <color rgb="FF192E59"/>
      <color rgb="FFBF0426"/>
      <color rgb="FFA6030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Finished Project.xlsx]pivot table!PivotTable1</c:name>
    <c:fmtId val="7"/>
  </c:pivotSource>
  <c:chart>
    <c:title>
      <c:tx>
        <c:rich>
          <a:bodyPr rot="0" spcFirstLastPara="1" vertOverflow="ellipsis" vert="horz" wrap="square" anchor="ctr" anchorCtr="1"/>
          <a:lstStyle/>
          <a:p>
            <a:pPr algn="ctr" rtl="0">
              <a:defRPr lang="en-US" sz="2000" b="1" i="1" u="none" strike="noStrike" kern="1200" spc="0" baseline="0">
                <a:solidFill>
                  <a:srgbClr val="BF0426"/>
                </a:solidFill>
                <a:latin typeface="Abadi" panose="020B0604020104020204" pitchFamily="34" charset="0"/>
                <a:ea typeface="+mn-ea"/>
                <a:cs typeface="+mn-cs"/>
              </a:defRPr>
            </a:pPr>
            <a:r>
              <a:rPr lang="en-US" sz="2000" b="1" i="1" u="none" strike="noStrike" kern="1200" spc="0" baseline="0">
                <a:solidFill>
                  <a:srgbClr val="BF0426"/>
                </a:solidFill>
                <a:latin typeface="Abadi" panose="020B0604020104020204" pitchFamily="34" charset="0"/>
                <a:ea typeface="+mn-ea"/>
                <a:cs typeface="+mn-cs"/>
              </a:rPr>
              <a:t>Sales by Order Status</a:t>
            </a:r>
          </a:p>
        </c:rich>
      </c:tx>
      <c:overlay val="0"/>
      <c:spPr>
        <a:noFill/>
        <a:ln>
          <a:noFill/>
        </a:ln>
        <a:effectLst/>
      </c:spPr>
      <c:txPr>
        <a:bodyPr rot="0" spcFirstLastPara="1" vertOverflow="ellipsis" vert="horz" wrap="square" anchor="ctr" anchorCtr="1"/>
        <a:lstStyle/>
        <a:p>
          <a:pPr algn="ctr" rtl="0">
            <a:defRPr lang="en-US" sz="2000" b="1" i="1" u="none" strike="noStrike" kern="1200" spc="0" baseline="0">
              <a:solidFill>
                <a:srgbClr val="BF0426"/>
              </a:solidFill>
              <a:latin typeface="Abadi" panose="020B0604020104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7.8807603595005174E-2"/>
          <c:y val="0.31727731453899316"/>
          <c:w val="0.6184592380497892"/>
          <c:h val="0.55327291324673789"/>
        </c:manualLayout>
      </c:layout>
      <c:doughnutChart>
        <c:varyColors val="1"/>
        <c:ser>
          <c:idx val="0"/>
          <c:order val="0"/>
          <c:tx>
            <c:strRef>
              <c:f>'pivot table'!$AQ$3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D7-49E0-8D01-136848716A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D7-49E0-8D01-136848716A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table'!$AP$4:$AP$6</c:f>
              <c:strCache>
                <c:ptCount val="2"/>
                <c:pt idx="0">
                  <c:v>تم التسليم</c:v>
                </c:pt>
                <c:pt idx="1">
                  <c:v>لغى</c:v>
                </c:pt>
              </c:strCache>
            </c:strRef>
          </c:cat>
          <c:val>
            <c:numRef>
              <c:f>'pivot table'!$AQ$4:$AQ$6</c:f>
              <c:numCache>
                <c:formatCode>_(* #,##0_);_(* \(#,##0\);_(* "-"??_);_(@_)</c:formatCode>
                <c:ptCount val="2"/>
                <c:pt idx="0">
                  <c:v>980082.40544</c:v>
                </c:pt>
                <c:pt idx="1">
                  <c:v>169543</c:v>
                </c:pt>
              </c:numCache>
            </c:numRef>
          </c:val>
          <c:extLst>
            <c:ext xmlns:c16="http://schemas.microsoft.com/office/drawing/2014/chart" uri="{C3380CC4-5D6E-409C-BE32-E72D297353CC}">
              <c16:uniqueId val="{00000004-2CD7-49E0-8D01-136848716AD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Finished Project.xlsx]pivot table!PivotTable11</c:name>
    <c:fmtId val="8"/>
  </c:pivotSource>
  <c:chart>
    <c:title>
      <c:tx>
        <c:rich>
          <a:bodyPr rot="0" spcFirstLastPara="1" vertOverflow="ellipsis" vert="horz" wrap="square" anchor="ctr" anchorCtr="1"/>
          <a:lstStyle/>
          <a:p>
            <a:pPr algn="ctr" rtl="0">
              <a:defRPr lang="en-US" sz="2000" b="1" i="1" u="none" strike="noStrike" kern="1200" spc="0" baseline="0">
                <a:solidFill>
                  <a:srgbClr val="BF0426"/>
                </a:solidFill>
                <a:latin typeface="Abadi" panose="020B0604020104020204" pitchFamily="34" charset="0"/>
                <a:ea typeface="+mn-ea"/>
                <a:cs typeface="+mn-cs"/>
              </a:defRPr>
            </a:pPr>
            <a:r>
              <a:rPr lang="en-US" sz="2000" b="1" i="1" u="none" strike="noStrike" kern="1200" spc="0" baseline="0">
                <a:solidFill>
                  <a:srgbClr val="BF0426"/>
                </a:solidFill>
                <a:latin typeface="Abadi" panose="020B0604020104020204" pitchFamily="34" charset="0"/>
                <a:ea typeface="+mn-ea"/>
                <a:cs typeface="+mn-cs"/>
              </a:rPr>
              <a:t>Sales by product</a:t>
            </a:r>
          </a:p>
        </c:rich>
      </c:tx>
      <c:layout>
        <c:manualLayout>
          <c:xMode val="edge"/>
          <c:yMode val="edge"/>
          <c:x val="0.17746937882764652"/>
          <c:y val="6.3606715885905329E-2"/>
        </c:manualLayout>
      </c:layout>
      <c:overlay val="0"/>
      <c:spPr>
        <a:noFill/>
        <a:ln>
          <a:noFill/>
        </a:ln>
        <a:effectLst/>
      </c:spPr>
      <c:txPr>
        <a:bodyPr rot="0" spcFirstLastPara="1" vertOverflow="ellipsis" vert="horz" wrap="square" anchor="ctr" anchorCtr="1"/>
        <a:lstStyle/>
        <a:p>
          <a:pPr algn="ctr" rtl="0">
            <a:defRPr lang="en-US" sz="2000" b="1" i="1" u="none" strike="noStrike" kern="1200" spc="0" baseline="0">
              <a:solidFill>
                <a:srgbClr val="BF0426"/>
              </a:solidFill>
              <a:latin typeface="Abadi" panose="020B0604020104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18254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27102679378499E-2"/>
          <c:y val="0.34272050801283099"/>
          <c:w val="0.91269841269841268"/>
          <c:h val="0.65095891477314627"/>
        </c:manualLayout>
      </c:layout>
      <c:lineChart>
        <c:grouping val="standard"/>
        <c:varyColors val="0"/>
        <c:ser>
          <c:idx val="0"/>
          <c:order val="0"/>
          <c:tx>
            <c:strRef>
              <c:f>'pivot table'!$S$3</c:f>
              <c:strCache>
                <c:ptCount val="1"/>
                <c:pt idx="0">
                  <c:v>Total</c:v>
                </c:pt>
              </c:strCache>
            </c:strRef>
          </c:tx>
          <c:spPr>
            <a:ln w="28575" cap="rnd">
              <a:solidFill>
                <a:srgbClr val="182540"/>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table'!$R$4:$R$10</c:f>
              <c:strCache>
                <c:ptCount val="6"/>
                <c:pt idx="0">
                  <c:v>ترابيزه</c:v>
                </c:pt>
                <c:pt idx="1">
                  <c:v>ركنة</c:v>
                </c:pt>
                <c:pt idx="2">
                  <c:v>سرير</c:v>
                </c:pt>
                <c:pt idx="3">
                  <c:v>شيزلونج</c:v>
                </c:pt>
                <c:pt idx="4">
                  <c:v>كرسى</c:v>
                </c:pt>
                <c:pt idx="5">
                  <c:v>كنبة</c:v>
                </c:pt>
              </c:strCache>
            </c:strRef>
          </c:cat>
          <c:val>
            <c:numRef>
              <c:f>'pivot table'!$S$4:$S$10</c:f>
              <c:numCache>
                <c:formatCode>0</c:formatCode>
                <c:ptCount val="6"/>
                <c:pt idx="0">
                  <c:v>18</c:v>
                </c:pt>
                <c:pt idx="1">
                  <c:v>1</c:v>
                </c:pt>
                <c:pt idx="2">
                  <c:v>110</c:v>
                </c:pt>
                <c:pt idx="3">
                  <c:v>1</c:v>
                </c:pt>
                <c:pt idx="4">
                  <c:v>2</c:v>
                </c:pt>
                <c:pt idx="5">
                  <c:v>28</c:v>
                </c:pt>
              </c:numCache>
            </c:numRef>
          </c:val>
          <c:smooth val="1"/>
          <c:extLst>
            <c:ext xmlns:c16="http://schemas.microsoft.com/office/drawing/2014/chart" uri="{C3380CC4-5D6E-409C-BE32-E72D297353CC}">
              <c16:uniqueId val="{00000000-0278-4507-B83F-8F54F767C0CD}"/>
            </c:ext>
          </c:extLst>
        </c:ser>
        <c:dLbls>
          <c:dLblPos val="t"/>
          <c:showLegendKey val="0"/>
          <c:showVal val="1"/>
          <c:showCatName val="0"/>
          <c:showSerName val="0"/>
          <c:showPercent val="0"/>
          <c:showBubbleSize val="0"/>
        </c:dLbls>
        <c:smooth val="0"/>
        <c:axId val="574611504"/>
        <c:axId val="574598064"/>
      </c:lineChart>
      <c:catAx>
        <c:axId val="57461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crossAx val="574598064"/>
        <c:crosses val="autoZero"/>
        <c:auto val="1"/>
        <c:lblAlgn val="ctr"/>
        <c:lblOffset val="100"/>
        <c:noMultiLvlLbl val="0"/>
      </c:catAx>
      <c:valAx>
        <c:axId val="574598064"/>
        <c:scaling>
          <c:orientation val="minMax"/>
        </c:scaling>
        <c:delete val="1"/>
        <c:axPos val="l"/>
        <c:numFmt formatCode="0" sourceLinked="1"/>
        <c:majorTickMark val="none"/>
        <c:minorTickMark val="none"/>
        <c:tickLblPos val="nextTo"/>
        <c:crossAx val="574611504"/>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a:scene3d>
      <a:camera prst="orthographicFront"/>
      <a:lightRig rig="threePt" dir="t"/>
    </a:scene3d>
    <a:sp3d/>
  </c:spPr>
  <c:txPr>
    <a:bodyPr/>
    <a:lstStyle/>
    <a:p>
      <a:pPr>
        <a:defRPr>
          <a:solidFill>
            <a:srgbClr val="BF042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Finished Project.xlsx]pivot table!PivotTable15</c:name>
    <c:fmtId val="3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1">
                <a:solidFill>
                  <a:srgbClr val="BF0426"/>
                </a:solidFill>
                <a:latin typeface="Abadi" panose="020B0604020104020204" pitchFamily="34" charset="0"/>
              </a:rPr>
              <a:t>Sales by</a:t>
            </a:r>
            <a:r>
              <a:rPr lang="en-US" sz="2000" b="1" i="1" baseline="0">
                <a:solidFill>
                  <a:srgbClr val="BF0426"/>
                </a:solidFill>
                <a:latin typeface="Abadi" panose="020B0604020104020204" pitchFamily="34" charset="0"/>
              </a:rPr>
              <a:t> City</a:t>
            </a:r>
            <a:endParaRPr lang="en-US" sz="2000" b="1" i="1">
              <a:solidFill>
                <a:srgbClr val="BF0426"/>
              </a:solidFill>
              <a:latin typeface="Abadi" panose="020B0604020104020204" pitchFamily="34" charset="0"/>
            </a:endParaRPr>
          </a:p>
        </c:rich>
      </c:tx>
      <c:layout>
        <c:manualLayout>
          <c:xMode val="edge"/>
          <c:yMode val="edge"/>
          <c:x val="0.21885855300696108"/>
          <c:y val="5.7259750581936837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92E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s>
    <c:plotArea>
      <c:layout>
        <c:manualLayout>
          <c:layoutTarget val="inner"/>
          <c:xMode val="edge"/>
          <c:yMode val="edge"/>
          <c:x val="2.3839333172767888E-2"/>
          <c:y val="0.34820616220570316"/>
          <c:w val="0.86524414462826593"/>
          <c:h val="0.33101950348587522"/>
        </c:manualLayout>
      </c:layout>
      <c:barChart>
        <c:barDir val="col"/>
        <c:grouping val="clustered"/>
        <c:varyColors val="0"/>
        <c:ser>
          <c:idx val="0"/>
          <c:order val="0"/>
          <c:tx>
            <c:strRef>
              <c:f>'pivot table'!$AJ$3</c:f>
              <c:strCache>
                <c:ptCount val="1"/>
                <c:pt idx="0">
                  <c:v>Total</c:v>
                </c:pt>
              </c:strCache>
            </c:strRef>
          </c:tx>
          <c:spPr>
            <a:solidFill>
              <a:srgbClr val="192E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table'!$AI$4:$AI$15</c:f>
              <c:strCache>
                <c:ptCount val="11"/>
                <c:pt idx="0">
                  <c:v> القاهره</c:v>
                </c:pt>
                <c:pt idx="1">
                  <c:v> الجيزه</c:v>
                </c:pt>
                <c:pt idx="2">
                  <c:v>غير محدد</c:v>
                </c:pt>
                <c:pt idx="3">
                  <c:v> الإسكندرية</c:v>
                </c:pt>
                <c:pt idx="4">
                  <c:v>المخزن</c:v>
                </c:pt>
                <c:pt idx="5">
                  <c:v>العين السخنه</c:v>
                </c:pt>
                <c:pt idx="6">
                  <c:v>السويس </c:v>
                </c:pt>
                <c:pt idx="7">
                  <c:v>الغردقه</c:v>
                </c:pt>
                <c:pt idx="8">
                  <c:v> شيك هومز</c:v>
                </c:pt>
                <c:pt idx="9">
                  <c:v> كومبوند جولدن جستس </c:v>
                </c:pt>
                <c:pt idx="10">
                  <c:v>اسيوط </c:v>
                </c:pt>
              </c:strCache>
            </c:strRef>
          </c:cat>
          <c:val>
            <c:numRef>
              <c:f>'pivot table'!$AJ$4:$AJ$15</c:f>
              <c:numCache>
                <c:formatCode>General</c:formatCode>
                <c:ptCount val="11"/>
                <c:pt idx="0">
                  <c:v>62</c:v>
                </c:pt>
                <c:pt idx="1">
                  <c:v>21</c:v>
                </c:pt>
                <c:pt idx="2">
                  <c:v>8</c:v>
                </c:pt>
                <c:pt idx="3">
                  <c:v>7</c:v>
                </c:pt>
                <c:pt idx="4">
                  <c:v>6</c:v>
                </c:pt>
                <c:pt idx="5">
                  <c:v>4</c:v>
                </c:pt>
                <c:pt idx="6">
                  <c:v>4</c:v>
                </c:pt>
                <c:pt idx="7">
                  <c:v>3</c:v>
                </c:pt>
                <c:pt idx="8">
                  <c:v>3</c:v>
                </c:pt>
                <c:pt idx="9">
                  <c:v>1</c:v>
                </c:pt>
                <c:pt idx="10">
                  <c:v>1</c:v>
                </c:pt>
              </c:numCache>
            </c:numRef>
          </c:val>
          <c:extLst>
            <c:ext xmlns:c16="http://schemas.microsoft.com/office/drawing/2014/chart" uri="{C3380CC4-5D6E-409C-BE32-E72D297353CC}">
              <c16:uniqueId val="{00000000-C80C-4DCE-BFE2-B8788316D3F8}"/>
            </c:ext>
          </c:extLst>
        </c:ser>
        <c:dLbls>
          <c:dLblPos val="outEnd"/>
          <c:showLegendKey val="0"/>
          <c:showVal val="1"/>
          <c:showCatName val="0"/>
          <c:showSerName val="0"/>
          <c:showPercent val="0"/>
          <c:showBubbleSize val="0"/>
        </c:dLbls>
        <c:gapWidth val="219"/>
        <c:overlap val="-27"/>
        <c:axId val="747182207"/>
        <c:axId val="747178847"/>
      </c:barChart>
      <c:catAx>
        <c:axId val="7471822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crossAx val="747178847"/>
        <c:crosses val="autoZero"/>
        <c:auto val="1"/>
        <c:lblAlgn val="ctr"/>
        <c:lblOffset val="100"/>
        <c:noMultiLvlLbl val="0"/>
      </c:catAx>
      <c:valAx>
        <c:axId val="747178847"/>
        <c:scaling>
          <c:orientation val="minMax"/>
        </c:scaling>
        <c:delete val="1"/>
        <c:axPos val="l"/>
        <c:numFmt formatCode="General" sourceLinked="1"/>
        <c:majorTickMark val="out"/>
        <c:minorTickMark val="none"/>
        <c:tickLblPos val="nextTo"/>
        <c:crossAx val="747182207"/>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Finished Project.xlsx]pivot table!PivotTable12</c:name>
    <c:fmtId val="6"/>
  </c:pivotSource>
  <c:chart>
    <c:title>
      <c:tx>
        <c:rich>
          <a:bodyPr rot="0" spcFirstLastPara="1" vertOverflow="ellipsis" vert="horz" wrap="square" anchor="ctr" anchorCtr="1"/>
          <a:lstStyle/>
          <a:p>
            <a:pPr algn="ctr" rtl="0">
              <a:defRPr lang="en-US" sz="1800" b="1" i="1" u="none" strike="noStrike" kern="1200" spc="0" baseline="0">
                <a:solidFill>
                  <a:srgbClr val="BF0426"/>
                </a:solidFill>
                <a:latin typeface="Abadi" panose="020B0604020104020204" pitchFamily="34" charset="0"/>
                <a:ea typeface="+mn-ea"/>
                <a:cs typeface="+mn-cs"/>
              </a:defRPr>
            </a:pPr>
            <a:r>
              <a:rPr lang="en-US" sz="1800" b="1" i="1" u="none" strike="noStrike" kern="1200" spc="0" baseline="0">
                <a:solidFill>
                  <a:srgbClr val="BF0426"/>
                </a:solidFill>
                <a:latin typeface="Abadi" panose="020B0604020104020204" pitchFamily="34" charset="0"/>
                <a:ea typeface="+mn-ea"/>
                <a:cs typeface="+mn-cs"/>
              </a:rPr>
              <a:t>Color Best Seller</a:t>
            </a:r>
          </a:p>
        </c:rich>
      </c:tx>
      <c:overlay val="0"/>
      <c:spPr>
        <a:noFill/>
        <a:ln>
          <a:noFill/>
        </a:ln>
        <a:effectLst/>
      </c:spPr>
      <c:txPr>
        <a:bodyPr rot="0" spcFirstLastPara="1" vertOverflow="ellipsis" vert="horz" wrap="square" anchor="ctr" anchorCtr="1"/>
        <a:lstStyle/>
        <a:p>
          <a:pPr algn="ctr" rtl="0">
            <a:defRPr lang="en-US" sz="1800" b="1" i="1" u="none" strike="noStrike" kern="1200" spc="0" baseline="0">
              <a:solidFill>
                <a:srgbClr val="BF0426"/>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1825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182540"/>
            </a:solidFill>
            <a:round/>
          </a:ln>
          <a:effectLst/>
        </c:spPr>
        <c:marker>
          <c:symbol val="none"/>
        </c:marker>
      </c:pivotFmt>
    </c:pivotFmts>
    <c:plotArea>
      <c:layout>
        <c:manualLayout>
          <c:layoutTarget val="inner"/>
          <c:xMode val="edge"/>
          <c:yMode val="edge"/>
          <c:x val="2.4204410866229785E-3"/>
          <c:y val="0.50723836208274253"/>
          <c:w val="0.89702348017308642"/>
          <c:h val="0.33216055310159398"/>
        </c:manualLayout>
      </c:layout>
      <c:lineChart>
        <c:grouping val="standard"/>
        <c:varyColors val="0"/>
        <c:ser>
          <c:idx val="0"/>
          <c:order val="0"/>
          <c:tx>
            <c:strRef>
              <c:f>'pivot table'!$X$3</c:f>
              <c:strCache>
                <c:ptCount val="1"/>
                <c:pt idx="0">
                  <c:v>Total</c:v>
                </c:pt>
              </c:strCache>
            </c:strRef>
          </c:tx>
          <c:spPr>
            <a:ln w="28575" cap="rnd">
              <a:solidFill>
                <a:srgbClr val="18254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table'!$W$4:$W$17</c:f>
              <c:strCache>
                <c:ptCount val="13"/>
                <c:pt idx="0">
                  <c:v>نبيتى </c:v>
                </c:pt>
                <c:pt idx="1">
                  <c:v>غير محدد</c:v>
                </c:pt>
                <c:pt idx="2">
                  <c:v>روك ١٠</c:v>
                </c:pt>
                <c:pt idx="3">
                  <c:v>رمادي</c:v>
                </c:pt>
                <c:pt idx="4">
                  <c:v>رصاصي مشجر</c:v>
                </c:pt>
                <c:pt idx="5">
                  <c:v>خشب بنى فاتح</c:v>
                </c:pt>
                <c:pt idx="6">
                  <c:v>بيج</c:v>
                </c:pt>
                <c:pt idx="7">
                  <c:v>بنى غامق</c:v>
                </c:pt>
                <c:pt idx="8">
                  <c:v>بترولى</c:v>
                </c:pt>
                <c:pt idx="9">
                  <c:v>اسود</c:v>
                </c:pt>
                <c:pt idx="10">
                  <c:v>ازرق</c:v>
                </c:pt>
                <c:pt idx="11">
                  <c:v>ابيض في بنى غامق</c:v>
                </c:pt>
                <c:pt idx="12">
                  <c:v>ابيض</c:v>
                </c:pt>
              </c:strCache>
            </c:strRef>
          </c:cat>
          <c:val>
            <c:numRef>
              <c:f>'pivot table'!$X$4:$X$17</c:f>
              <c:numCache>
                <c:formatCode>General</c:formatCode>
                <c:ptCount val="13"/>
                <c:pt idx="0">
                  <c:v>3</c:v>
                </c:pt>
                <c:pt idx="1">
                  <c:v>73</c:v>
                </c:pt>
                <c:pt idx="2">
                  <c:v>1</c:v>
                </c:pt>
                <c:pt idx="3">
                  <c:v>6</c:v>
                </c:pt>
                <c:pt idx="4">
                  <c:v>1</c:v>
                </c:pt>
                <c:pt idx="5">
                  <c:v>1</c:v>
                </c:pt>
                <c:pt idx="6">
                  <c:v>3</c:v>
                </c:pt>
                <c:pt idx="7">
                  <c:v>3</c:v>
                </c:pt>
                <c:pt idx="8">
                  <c:v>3</c:v>
                </c:pt>
                <c:pt idx="9">
                  <c:v>9</c:v>
                </c:pt>
                <c:pt idx="10">
                  <c:v>1</c:v>
                </c:pt>
                <c:pt idx="11">
                  <c:v>1</c:v>
                </c:pt>
                <c:pt idx="12">
                  <c:v>15</c:v>
                </c:pt>
              </c:numCache>
            </c:numRef>
          </c:val>
          <c:smooth val="1"/>
          <c:extLst>
            <c:ext xmlns:c16="http://schemas.microsoft.com/office/drawing/2014/chart" uri="{C3380CC4-5D6E-409C-BE32-E72D297353CC}">
              <c16:uniqueId val="{00000000-03B7-48F1-97D6-E506D7D885FF}"/>
            </c:ext>
          </c:extLst>
        </c:ser>
        <c:dLbls>
          <c:showLegendKey val="0"/>
          <c:showVal val="1"/>
          <c:showCatName val="0"/>
          <c:showSerName val="0"/>
          <c:showPercent val="0"/>
          <c:showBubbleSize val="0"/>
        </c:dLbls>
        <c:smooth val="0"/>
        <c:axId val="2141473743"/>
        <c:axId val="2141481903"/>
      </c:lineChart>
      <c:catAx>
        <c:axId val="2141473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crossAx val="2141481903"/>
        <c:crosses val="autoZero"/>
        <c:auto val="1"/>
        <c:lblAlgn val="ctr"/>
        <c:lblOffset val="100"/>
        <c:noMultiLvlLbl val="0"/>
      </c:catAx>
      <c:valAx>
        <c:axId val="2141481903"/>
        <c:scaling>
          <c:orientation val="minMax"/>
        </c:scaling>
        <c:delete val="1"/>
        <c:axPos val="l"/>
        <c:numFmt formatCode="General" sourceLinked="1"/>
        <c:majorTickMark val="out"/>
        <c:minorTickMark val="none"/>
        <c:tickLblPos val="nextTo"/>
        <c:crossAx val="214147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Finished Project.xlsx]pivot table!PivotTable10</c:name>
    <c:fmtId val="6"/>
  </c:pivotSource>
  <c:chart>
    <c:title>
      <c:tx>
        <c:rich>
          <a:bodyPr rot="0" spcFirstLastPara="1" vertOverflow="ellipsis" vert="horz" wrap="square" anchor="ctr" anchorCtr="1"/>
          <a:lstStyle/>
          <a:p>
            <a:pPr algn="ctr" rtl="0">
              <a:defRPr lang="en-US" sz="2000" b="1" i="1" u="none" strike="noStrike" kern="1200" spc="0" baseline="0">
                <a:solidFill>
                  <a:srgbClr val="BF0426"/>
                </a:solidFill>
                <a:latin typeface="Abadi" panose="020B0604020104020204" pitchFamily="34" charset="0"/>
                <a:ea typeface="+mn-ea"/>
                <a:cs typeface="+mn-cs"/>
              </a:defRPr>
            </a:pPr>
            <a:r>
              <a:rPr lang="en-US" sz="2000" b="1" i="1" u="none" strike="noStrike" kern="1200" spc="0" baseline="0">
                <a:solidFill>
                  <a:srgbClr val="BF0426"/>
                </a:solidFill>
                <a:latin typeface="Abadi" panose="020B0604020104020204" pitchFamily="34" charset="0"/>
                <a:ea typeface="+mn-ea"/>
                <a:cs typeface="+mn-cs"/>
              </a:rPr>
              <a:t>Sales by Platform</a:t>
            </a:r>
          </a:p>
        </c:rich>
      </c:tx>
      <c:overlay val="0"/>
      <c:spPr>
        <a:noFill/>
        <a:ln>
          <a:noFill/>
        </a:ln>
        <a:effectLst/>
      </c:spPr>
      <c:txPr>
        <a:bodyPr rot="0" spcFirstLastPara="1" vertOverflow="ellipsis" vert="horz" wrap="square" anchor="ctr" anchorCtr="1"/>
        <a:lstStyle/>
        <a:p>
          <a:pPr algn="ctr" rtl="0">
            <a:defRPr lang="en-US" sz="2000" b="1" i="1" u="none" strike="noStrike" kern="1200" spc="0" baseline="0">
              <a:solidFill>
                <a:srgbClr val="BF0426"/>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2E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160673742070606E-3"/>
          <c:y val="0.47899370208992986"/>
          <c:w val="0.91091601049868764"/>
          <c:h val="0.38282137809696865"/>
        </c:manualLayout>
      </c:layout>
      <c:barChart>
        <c:barDir val="col"/>
        <c:grouping val="clustered"/>
        <c:varyColors val="0"/>
        <c:ser>
          <c:idx val="0"/>
          <c:order val="0"/>
          <c:tx>
            <c:strRef>
              <c:f>'pivot table'!$N$3</c:f>
              <c:strCache>
                <c:ptCount val="1"/>
                <c:pt idx="0">
                  <c:v>Total</c:v>
                </c:pt>
              </c:strCache>
            </c:strRef>
          </c:tx>
          <c:spPr>
            <a:solidFill>
              <a:srgbClr val="192E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table'!$M$4:$M$12</c:f>
              <c:strCache>
                <c:ptCount val="8"/>
                <c:pt idx="0">
                  <c:v>هومزمارت</c:v>
                </c:pt>
                <c:pt idx="1">
                  <c:v>منزلى</c:v>
                </c:pt>
                <c:pt idx="2">
                  <c:v>كيمت </c:v>
                </c:pt>
                <c:pt idx="3">
                  <c:v>فيسبوك</c:v>
                </c:pt>
                <c:pt idx="4">
                  <c:v>شيك هومز</c:v>
                </c:pt>
                <c:pt idx="5">
                  <c:v>تاكى</c:v>
                </c:pt>
                <c:pt idx="6">
                  <c:v>اوسكار ريتن </c:v>
                </c:pt>
                <c:pt idx="7">
                  <c:v>السويس</c:v>
                </c:pt>
              </c:strCache>
            </c:strRef>
          </c:cat>
          <c:val>
            <c:numRef>
              <c:f>'pivot table'!$N$4:$N$12</c:f>
              <c:numCache>
                <c:formatCode>0</c:formatCode>
                <c:ptCount val="8"/>
                <c:pt idx="0">
                  <c:v>110</c:v>
                </c:pt>
                <c:pt idx="1">
                  <c:v>2</c:v>
                </c:pt>
                <c:pt idx="2">
                  <c:v>1</c:v>
                </c:pt>
                <c:pt idx="3">
                  <c:v>5</c:v>
                </c:pt>
                <c:pt idx="4">
                  <c:v>15</c:v>
                </c:pt>
                <c:pt idx="5">
                  <c:v>10</c:v>
                </c:pt>
                <c:pt idx="6">
                  <c:v>13</c:v>
                </c:pt>
                <c:pt idx="7">
                  <c:v>4</c:v>
                </c:pt>
              </c:numCache>
            </c:numRef>
          </c:val>
          <c:extLst>
            <c:ext xmlns:c16="http://schemas.microsoft.com/office/drawing/2014/chart" uri="{C3380CC4-5D6E-409C-BE32-E72D297353CC}">
              <c16:uniqueId val="{00000000-CC5D-4BB3-92A8-7A1BD76ADE89}"/>
            </c:ext>
          </c:extLst>
        </c:ser>
        <c:dLbls>
          <c:dLblPos val="outEnd"/>
          <c:showLegendKey val="0"/>
          <c:showVal val="1"/>
          <c:showCatName val="0"/>
          <c:showSerName val="0"/>
          <c:showPercent val="0"/>
          <c:showBubbleSize val="0"/>
        </c:dLbls>
        <c:gapWidth val="219"/>
        <c:overlap val="-27"/>
        <c:axId val="67105888"/>
        <c:axId val="67097248"/>
      </c:barChart>
      <c:catAx>
        <c:axId val="6710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crossAx val="67097248"/>
        <c:crosses val="autoZero"/>
        <c:auto val="1"/>
        <c:lblAlgn val="ctr"/>
        <c:lblOffset val="100"/>
        <c:noMultiLvlLbl val="0"/>
      </c:catAx>
      <c:valAx>
        <c:axId val="67097248"/>
        <c:scaling>
          <c:orientation val="minMax"/>
        </c:scaling>
        <c:delete val="1"/>
        <c:axPos val="l"/>
        <c:numFmt formatCode="0" sourceLinked="1"/>
        <c:majorTickMark val="none"/>
        <c:minorTickMark val="none"/>
        <c:tickLblPos val="nextTo"/>
        <c:crossAx val="6710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Finished Project.xlsx]pivot table!PivotTable13</c:name>
    <c:fmtId val="11"/>
  </c:pivotSource>
  <c:chart>
    <c:title>
      <c:tx>
        <c:rich>
          <a:bodyPr rot="0" spcFirstLastPara="1" vertOverflow="ellipsis" vert="horz" wrap="square" anchor="ctr" anchorCtr="1"/>
          <a:lstStyle/>
          <a:p>
            <a:pPr algn="ctr" rtl="0">
              <a:defRPr lang="en-US" sz="2000" b="1" i="1" u="none" strike="noStrike" kern="1200" spc="0" baseline="0">
                <a:solidFill>
                  <a:srgbClr val="BF0426"/>
                </a:solidFill>
                <a:latin typeface="Abadi" panose="020B0604020104020204" pitchFamily="34" charset="0"/>
                <a:ea typeface="+mn-ea"/>
                <a:cs typeface="+mn-cs"/>
              </a:defRPr>
            </a:pPr>
            <a:r>
              <a:rPr lang="en-US" sz="2000" b="1" i="1" u="none" strike="noStrike" kern="1200" spc="0" baseline="0">
                <a:solidFill>
                  <a:srgbClr val="BF0426"/>
                </a:solidFill>
                <a:latin typeface="Abadi" panose="020B0604020104020204" pitchFamily="34" charset="0"/>
                <a:ea typeface="+mn-ea"/>
                <a:cs typeface="+mn-cs"/>
              </a:rPr>
              <a:t>Order Persentage</a:t>
            </a:r>
          </a:p>
        </c:rich>
      </c:tx>
      <c:layout>
        <c:manualLayout>
          <c:xMode val="edge"/>
          <c:yMode val="edge"/>
          <c:x val="0.16797084845042703"/>
          <c:y val="7.1354342218113737E-2"/>
        </c:manualLayout>
      </c:layout>
      <c:overlay val="0"/>
      <c:spPr>
        <a:noFill/>
        <a:ln>
          <a:noFill/>
        </a:ln>
        <a:effectLst/>
      </c:spPr>
      <c:txPr>
        <a:bodyPr rot="0" spcFirstLastPara="1" vertOverflow="ellipsis" vert="horz" wrap="square" anchor="ctr" anchorCtr="1"/>
        <a:lstStyle/>
        <a:p>
          <a:pPr algn="ctr" rtl="0">
            <a:defRPr lang="en-US" sz="2000" b="1" i="1" u="none" strike="noStrike" kern="1200" spc="0" baseline="0">
              <a:solidFill>
                <a:srgbClr val="BF0426"/>
              </a:solidFill>
              <a:latin typeface="Abadi" panose="020B0604020104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manualLayout>
          <c:layoutTarget val="inner"/>
          <c:xMode val="edge"/>
          <c:yMode val="edge"/>
          <c:x val="0.19690100674022448"/>
          <c:y val="0.43976012089397915"/>
          <c:w val="0.24104703057160512"/>
          <c:h val="0.47332856120257694"/>
        </c:manualLayout>
      </c:layout>
      <c:pieChart>
        <c:varyColors val="1"/>
        <c:ser>
          <c:idx val="0"/>
          <c:order val="0"/>
          <c:tx>
            <c:strRef>
              <c:f>'pivot table'!$AB$3</c:f>
              <c:strCache>
                <c:ptCount val="1"/>
                <c:pt idx="0">
                  <c:v>Total</c:v>
                </c:pt>
              </c:strCache>
            </c:strRef>
          </c:tx>
          <c:spPr>
            <a:ln>
              <a:noFill/>
            </a:ln>
          </c:spPr>
          <c:explosion val="18"/>
          <c:dPt>
            <c:idx val="0"/>
            <c:bubble3D val="0"/>
            <c:explosion val="0"/>
            <c:spPr>
              <a:solidFill>
                <a:schemeClr val="accent1"/>
              </a:solidFill>
              <a:ln w="19050">
                <a:noFill/>
              </a:ln>
              <a:effectLst/>
            </c:spPr>
            <c:extLst>
              <c:ext xmlns:c16="http://schemas.microsoft.com/office/drawing/2014/chart" uri="{C3380CC4-5D6E-409C-BE32-E72D297353CC}">
                <c16:uniqueId val="{00000001-9CB1-42EE-B3ED-4BA7E048778E}"/>
              </c:ext>
            </c:extLst>
          </c:dPt>
          <c:dPt>
            <c:idx val="1"/>
            <c:bubble3D val="0"/>
            <c:explosion val="0"/>
            <c:spPr>
              <a:solidFill>
                <a:schemeClr val="accent2"/>
              </a:solidFill>
              <a:ln w="19050">
                <a:noFill/>
              </a:ln>
              <a:effectLst/>
            </c:spPr>
            <c:extLst>
              <c:ext xmlns:c16="http://schemas.microsoft.com/office/drawing/2014/chart" uri="{C3380CC4-5D6E-409C-BE32-E72D297353CC}">
                <c16:uniqueId val="{00000003-9CB1-42EE-B3ED-4BA7E048778E}"/>
              </c:ext>
            </c:extLst>
          </c:dPt>
          <c:dPt>
            <c:idx val="2"/>
            <c:bubble3D val="0"/>
            <c:explosion val="0"/>
            <c:spPr>
              <a:solidFill>
                <a:schemeClr val="accent3"/>
              </a:solidFill>
              <a:ln w="19050">
                <a:noFill/>
              </a:ln>
              <a:effectLst/>
            </c:spPr>
            <c:extLst>
              <c:ext xmlns:c16="http://schemas.microsoft.com/office/drawing/2014/chart" uri="{C3380CC4-5D6E-409C-BE32-E72D297353CC}">
                <c16:uniqueId val="{00000005-9CB1-42EE-B3ED-4BA7E04877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0426"/>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table'!$AA$4:$AA$7</c:f>
              <c:strCache>
                <c:ptCount val="3"/>
                <c:pt idx="0">
                  <c:v>Early</c:v>
                </c:pt>
                <c:pt idx="1">
                  <c:v>Late</c:v>
                </c:pt>
                <c:pt idx="2">
                  <c:v>On Time</c:v>
                </c:pt>
              </c:strCache>
            </c:strRef>
          </c:cat>
          <c:val>
            <c:numRef>
              <c:f>'pivot table'!$AB$4:$AB$7</c:f>
              <c:numCache>
                <c:formatCode>0%</c:formatCode>
                <c:ptCount val="3"/>
                <c:pt idx="0">
                  <c:v>0.33333333333333331</c:v>
                </c:pt>
                <c:pt idx="1">
                  <c:v>0.6</c:v>
                </c:pt>
                <c:pt idx="2">
                  <c:v>6.6666666666666666E-2</c:v>
                </c:pt>
              </c:numCache>
            </c:numRef>
          </c:val>
          <c:extLst>
            <c:ext xmlns:c16="http://schemas.microsoft.com/office/drawing/2014/chart" uri="{C3380CC4-5D6E-409C-BE32-E72D297353CC}">
              <c16:uniqueId val="{00000006-9CB1-42EE-B3ED-4BA7E048778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legendEntry>
      <c:layout>
        <c:manualLayout>
          <c:xMode val="edge"/>
          <c:yMode val="edge"/>
          <c:x val="0.67600132076125874"/>
          <c:y val="0.42339234868368725"/>
          <c:w val="0.19231139376928608"/>
          <c:h val="0.409093772369362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BF04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1.jpg"/><Relationship Id="rId1" Type="http://schemas.openxmlformats.org/officeDocument/2006/relationships/hyperlink" Target="#'Cleaned'!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20</xdr:col>
      <xdr:colOff>85726</xdr:colOff>
      <xdr:row>2</xdr:row>
      <xdr:rowOff>118995</xdr:rowOff>
    </xdr:from>
    <xdr:to>
      <xdr:col>24</xdr:col>
      <xdr:colOff>111402</xdr:colOff>
      <xdr:row>7</xdr:row>
      <xdr:rowOff>38101</xdr:rowOff>
    </xdr:to>
    <xdr:sp macro="" textlink="">
      <xdr:nvSpPr>
        <xdr:cNvPr id="31" name="Rectangle: Rounded Corners 30">
          <a:extLst>
            <a:ext uri="{FF2B5EF4-FFF2-40B4-BE49-F238E27FC236}">
              <a16:creationId xmlns:a16="http://schemas.microsoft.com/office/drawing/2014/main" id="{91D98F3B-078C-4A42-880C-940D3DA7BE97}"/>
            </a:ext>
          </a:extLst>
        </xdr:cNvPr>
        <xdr:cNvSpPr/>
      </xdr:nvSpPr>
      <xdr:spPr>
        <a:xfrm>
          <a:off x="12277726" y="499995"/>
          <a:ext cx="2464076" cy="871606"/>
        </a:xfrm>
        <a:prstGeom prst="roundRect">
          <a:avLst/>
        </a:prstGeom>
        <a:solidFill>
          <a:srgbClr val="F2F2F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581991</xdr:colOff>
      <xdr:row>2</xdr:row>
      <xdr:rowOff>99944</xdr:rowOff>
    </xdr:from>
    <xdr:to>
      <xdr:col>11</xdr:col>
      <xdr:colOff>262834</xdr:colOff>
      <xdr:row>7</xdr:row>
      <xdr:rowOff>44727</xdr:rowOff>
    </xdr:to>
    <xdr:sp macro="" textlink="">
      <xdr:nvSpPr>
        <xdr:cNvPr id="25" name="Rectangle: Rounded Corners 24">
          <a:extLst>
            <a:ext uri="{FF2B5EF4-FFF2-40B4-BE49-F238E27FC236}">
              <a16:creationId xmlns:a16="http://schemas.microsoft.com/office/drawing/2014/main" id="{9F64F25B-C430-4979-8529-5EDAF39F41A7}"/>
            </a:ext>
          </a:extLst>
        </xdr:cNvPr>
        <xdr:cNvSpPr/>
      </xdr:nvSpPr>
      <xdr:spPr>
        <a:xfrm>
          <a:off x="4833730" y="486466"/>
          <a:ext cx="2110408" cy="911087"/>
        </a:xfrm>
        <a:prstGeom prst="roundRect">
          <a:avLst/>
        </a:prstGeom>
        <a:solidFill>
          <a:srgbClr val="F2F2F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112092</xdr:colOff>
      <xdr:row>2</xdr:row>
      <xdr:rowOff>99944</xdr:rowOff>
    </xdr:from>
    <xdr:to>
      <xdr:col>7</xdr:col>
      <xdr:colOff>400326</xdr:colOff>
      <xdr:row>7</xdr:row>
      <xdr:rowOff>44727</xdr:rowOff>
    </xdr:to>
    <xdr:sp macro="" textlink="">
      <xdr:nvSpPr>
        <xdr:cNvPr id="24" name="Rectangle: Rounded Corners 23">
          <a:extLst>
            <a:ext uri="{FF2B5EF4-FFF2-40B4-BE49-F238E27FC236}">
              <a16:creationId xmlns:a16="http://schemas.microsoft.com/office/drawing/2014/main" id="{45347995-0863-49A8-8130-B2F25B512E0B}"/>
            </a:ext>
          </a:extLst>
        </xdr:cNvPr>
        <xdr:cNvSpPr/>
      </xdr:nvSpPr>
      <xdr:spPr>
        <a:xfrm>
          <a:off x="2541657" y="486466"/>
          <a:ext cx="2110408" cy="911087"/>
        </a:xfrm>
        <a:prstGeom prst="roundRect">
          <a:avLst/>
        </a:prstGeom>
        <a:solidFill>
          <a:srgbClr val="F2F2F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152399</xdr:colOff>
      <xdr:row>0</xdr:row>
      <xdr:rowOff>0</xdr:rowOff>
    </xdr:from>
    <xdr:to>
      <xdr:col>24</xdr:col>
      <xdr:colOff>66675</xdr:colOff>
      <xdr:row>2</xdr:row>
      <xdr:rowOff>57150</xdr:rowOff>
    </xdr:to>
    <xdr:sp macro="" textlink="">
      <xdr:nvSpPr>
        <xdr:cNvPr id="21" name="TextBox 20">
          <a:extLst>
            <a:ext uri="{FF2B5EF4-FFF2-40B4-BE49-F238E27FC236}">
              <a16:creationId xmlns:a16="http://schemas.microsoft.com/office/drawing/2014/main" id="{685B7E95-D51C-95E4-05CD-62678AE95AF5}"/>
            </a:ext>
          </a:extLst>
        </xdr:cNvPr>
        <xdr:cNvSpPr txBox="1"/>
      </xdr:nvSpPr>
      <xdr:spPr>
        <a:xfrm>
          <a:off x="2590799" y="0"/>
          <a:ext cx="12106276" cy="438150"/>
        </a:xfrm>
        <a:prstGeom prst="rect">
          <a:avLst/>
        </a:prstGeom>
        <a:solidFill>
          <a:srgbClr val="F2F2F2"/>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1">
              <a:solidFill>
                <a:srgbClr val="192E59"/>
              </a:solidFill>
              <a:latin typeface="Abadi" panose="020B0604020104020204" pitchFamily="34" charset="0"/>
            </a:rPr>
            <a:t>Misuo</a:t>
          </a:r>
          <a:r>
            <a:rPr lang="en-US" sz="2800" b="1" i="1" baseline="0">
              <a:solidFill>
                <a:srgbClr val="192E59"/>
              </a:solidFill>
              <a:latin typeface="Abadi" panose="020B0604020104020204" pitchFamily="34" charset="0"/>
            </a:rPr>
            <a:t> Dashboard</a:t>
          </a:r>
          <a:endParaRPr lang="en-US" sz="2800" b="1" i="1">
            <a:solidFill>
              <a:srgbClr val="192E59"/>
            </a:solidFill>
            <a:latin typeface="Abadi" panose="020B0604020104020204" pitchFamily="34" charset="0"/>
          </a:endParaRPr>
        </a:p>
      </xdr:txBody>
    </xdr:sp>
    <xdr:clientData/>
  </xdr:twoCellAnchor>
  <xdr:twoCellAnchor>
    <xdr:from>
      <xdr:col>8</xdr:col>
      <xdr:colOff>214314</xdr:colOff>
      <xdr:row>2</xdr:row>
      <xdr:rowOff>167584</xdr:rowOff>
    </xdr:from>
    <xdr:to>
      <xdr:col>11</xdr:col>
      <xdr:colOff>42864</xdr:colOff>
      <xdr:row>4</xdr:row>
      <xdr:rowOff>72335</xdr:rowOff>
    </xdr:to>
    <xdr:sp macro="" textlink="">
      <xdr:nvSpPr>
        <xdr:cNvPr id="22" name="TextBox 21">
          <a:extLst>
            <a:ext uri="{FF2B5EF4-FFF2-40B4-BE49-F238E27FC236}">
              <a16:creationId xmlns:a16="http://schemas.microsoft.com/office/drawing/2014/main" id="{1D07C6CD-BD4A-B66A-E4ED-152E701A1995}"/>
            </a:ext>
          </a:extLst>
        </xdr:cNvPr>
        <xdr:cNvSpPr txBox="1"/>
      </xdr:nvSpPr>
      <xdr:spPr>
        <a:xfrm>
          <a:off x="5073444" y="554106"/>
          <a:ext cx="1650724" cy="291272"/>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a:solidFill>
                <a:srgbClr val="192E59"/>
              </a:solidFill>
              <a:latin typeface="Abadi" panose="020B0604020104020204" pitchFamily="34" charset="0"/>
            </a:rPr>
            <a:t>Total Sales</a:t>
          </a:r>
        </a:p>
      </xdr:txBody>
    </xdr:sp>
    <xdr:clientData/>
  </xdr:twoCellAnchor>
  <xdr:oneCellAnchor>
    <xdr:from>
      <xdr:col>8</xdr:col>
      <xdr:colOff>561975</xdr:colOff>
      <xdr:row>0</xdr:row>
      <xdr:rowOff>95250</xdr:rowOff>
    </xdr:from>
    <xdr:ext cx="184731" cy="264560"/>
    <xdr:sp macro="" textlink="">
      <xdr:nvSpPr>
        <xdr:cNvPr id="23" name="TextBox 22">
          <a:extLst>
            <a:ext uri="{FF2B5EF4-FFF2-40B4-BE49-F238E27FC236}">
              <a16:creationId xmlns:a16="http://schemas.microsoft.com/office/drawing/2014/main" id="{6056704D-D48A-2DD4-C953-1D27068CB354}"/>
            </a:ext>
          </a:extLst>
        </xdr:cNvPr>
        <xdr:cNvSpPr txBox="1"/>
      </xdr:nvSpPr>
      <xdr:spPr>
        <a:xfrm>
          <a:off x="5438775" y="95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403295</xdr:colOff>
      <xdr:row>2</xdr:row>
      <xdr:rowOff>167584</xdr:rowOff>
    </xdr:from>
    <xdr:to>
      <xdr:col>7</xdr:col>
      <xdr:colOff>146120</xdr:colOff>
      <xdr:row>4</xdr:row>
      <xdr:rowOff>98149</xdr:rowOff>
    </xdr:to>
    <xdr:sp macro="" textlink="">
      <xdr:nvSpPr>
        <xdr:cNvPr id="26" name="TextBox 25">
          <a:extLst>
            <a:ext uri="{FF2B5EF4-FFF2-40B4-BE49-F238E27FC236}">
              <a16:creationId xmlns:a16="http://schemas.microsoft.com/office/drawing/2014/main" id="{B7D53549-3D67-BC9E-1BC0-30A23B151943}"/>
            </a:ext>
          </a:extLst>
        </xdr:cNvPr>
        <xdr:cNvSpPr txBox="1"/>
      </xdr:nvSpPr>
      <xdr:spPr>
        <a:xfrm>
          <a:off x="2832860" y="554106"/>
          <a:ext cx="1564999" cy="317086"/>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a:solidFill>
                <a:srgbClr val="192E59"/>
              </a:solidFill>
              <a:latin typeface="Abadi" panose="020B0604020104020204" pitchFamily="34" charset="0"/>
            </a:rPr>
            <a:t>Total Orders</a:t>
          </a:r>
        </a:p>
      </xdr:txBody>
    </xdr:sp>
    <xdr:clientData/>
  </xdr:twoCellAnchor>
  <xdr:twoCellAnchor>
    <xdr:from>
      <xdr:col>4</xdr:col>
      <xdr:colOff>416960</xdr:colOff>
      <xdr:row>4</xdr:row>
      <xdr:rowOff>150467</xdr:rowOff>
    </xdr:from>
    <xdr:to>
      <xdr:col>7</xdr:col>
      <xdr:colOff>104844</xdr:colOff>
      <xdr:row>6</xdr:row>
      <xdr:rowOff>121892</xdr:rowOff>
    </xdr:to>
    <xdr:sp macro="" textlink="'pivot table'!E6">
      <xdr:nvSpPr>
        <xdr:cNvPr id="27" name="TextBox 26">
          <a:extLst>
            <a:ext uri="{FF2B5EF4-FFF2-40B4-BE49-F238E27FC236}">
              <a16:creationId xmlns:a16="http://schemas.microsoft.com/office/drawing/2014/main" id="{356A856A-AA4C-D9DA-1185-779FBC3F7C3F}"/>
            </a:ext>
          </a:extLst>
        </xdr:cNvPr>
        <xdr:cNvSpPr txBox="1"/>
      </xdr:nvSpPr>
      <xdr:spPr>
        <a:xfrm>
          <a:off x="2846525" y="923510"/>
          <a:ext cx="1510058" cy="357947"/>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4F0677-F18F-48A2-A574-C2ABAF87267A}" type="TxLink">
            <a:rPr lang="en-US" sz="3200" b="0" i="0" u="none" strike="noStrike">
              <a:solidFill>
                <a:srgbClr val="BF0426"/>
              </a:solidFill>
              <a:latin typeface="Calibri"/>
              <a:cs typeface="Calibri"/>
            </a:rPr>
            <a:pPr algn="ctr"/>
            <a:t> 120 </a:t>
          </a:fld>
          <a:endParaRPr lang="en-US" sz="3200" b="1" i="1">
            <a:solidFill>
              <a:srgbClr val="BF0426"/>
            </a:solidFill>
            <a:latin typeface="Abadi" panose="020B0604020104020204" pitchFamily="34" charset="0"/>
          </a:endParaRPr>
        </a:p>
      </xdr:txBody>
    </xdr:sp>
    <xdr:clientData/>
  </xdr:twoCellAnchor>
  <xdr:twoCellAnchor>
    <xdr:from>
      <xdr:col>20</xdr:col>
      <xdr:colOff>502340</xdr:colOff>
      <xdr:row>3</xdr:row>
      <xdr:rowOff>5659</xdr:rowOff>
    </xdr:from>
    <xdr:to>
      <xdr:col>23</xdr:col>
      <xdr:colOff>264216</xdr:colOff>
      <xdr:row>4</xdr:row>
      <xdr:rowOff>126724</xdr:rowOff>
    </xdr:to>
    <xdr:sp macro="" textlink="">
      <xdr:nvSpPr>
        <xdr:cNvPr id="28" name="TextBox 27">
          <a:extLst>
            <a:ext uri="{FF2B5EF4-FFF2-40B4-BE49-F238E27FC236}">
              <a16:creationId xmlns:a16="http://schemas.microsoft.com/office/drawing/2014/main" id="{18D3B08F-3A8F-4E2E-863C-EC2D1E945E5A}"/>
            </a:ext>
          </a:extLst>
        </xdr:cNvPr>
        <xdr:cNvSpPr txBox="1"/>
      </xdr:nvSpPr>
      <xdr:spPr>
        <a:xfrm>
          <a:off x="12694340" y="577159"/>
          <a:ext cx="1590676" cy="311565"/>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a:solidFill>
                <a:srgbClr val="192E59"/>
              </a:solidFill>
              <a:latin typeface="Abadi" panose="020B0604020104020204" pitchFamily="34" charset="0"/>
            </a:rPr>
            <a:t>Avg.Sales</a:t>
          </a:r>
        </a:p>
      </xdr:txBody>
    </xdr:sp>
    <xdr:clientData/>
  </xdr:twoCellAnchor>
  <xdr:twoCellAnchor>
    <xdr:from>
      <xdr:col>12</xdr:col>
      <xdr:colOff>6280</xdr:colOff>
      <xdr:row>2</xdr:row>
      <xdr:rowOff>167584</xdr:rowOff>
    </xdr:from>
    <xdr:to>
      <xdr:col>14</xdr:col>
      <xdr:colOff>499372</xdr:colOff>
      <xdr:row>4</xdr:row>
      <xdr:rowOff>148535</xdr:rowOff>
    </xdr:to>
    <xdr:sp macro="" textlink="">
      <xdr:nvSpPr>
        <xdr:cNvPr id="29" name="TextBox 28">
          <a:extLst>
            <a:ext uri="{FF2B5EF4-FFF2-40B4-BE49-F238E27FC236}">
              <a16:creationId xmlns:a16="http://schemas.microsoft.com/office/drawing/2014/main" id="{F4C31C42-7B56-43FB-8359-5E5FB8229528}"/>
            </a:ext>
          </a:extLst>
        </xdr:cNvPr>
        <xdr:cNvSpPr txBox="1"/>
      </xdr:nvSpPr>
      <xdr:spPr>
        <a:xfrm>
          <a:off x="7294976" y="554106"/>
          <a:ext cx="1707874" cy="367472"/>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a:solidFill>
                <a:srgbClr val="192E59"/>
              </a:solidFill>
              <a:latin typeface="Abadi" panose="020B0604020104020204" pitchFamily="34" charset="0"/>
            </a:rPr>
            <a:t>Total Clients</a:t>
          </a:r>
        </a:p>
      </xdr:txBody>
    </xdr:sp>
    <xdr:clientData/>
  </xdr:twoCellAnchor>
  <xdr:twoCellAnchor>
    <xdr:from>
      <xdr:col>20</xdr:col>
      <xdr:colOff>528015</xdr:colOff>
      <xdr:row>4</xdr:row>
      <xdr:rowOff>188567</xdr:rowOff>
    </xdr:from>
    <xdr:to>
      <xdr:col>23</xdr:col>
      <xdr:colOff>215900</xdr:colOff>
      <xdr:row>6</xdr:row>
      <xdr:rowOff>157231</xdr:rowOff>
    </xdr:to>
    <xdr:sp macro="" textlink="'pivot table'!I6">
      <xdr:nvSpPr>
        <xdr:cNvPr id="36" name="TextBox 35">
          <a:extLst>
            <a:ext uri="{FF2B5EF4-FFF2-40B4-BE49-F238E27FC236}">
              <a16:creationId xmlns:a16="http://schemas.microsoft.com/office/drawing/2014/main" id="{267E684C-BBF2-4D30-A514-C3BC963A73EF}"/>
            </a:ext>
          </a:extLst>
        </xdr:cNvPr>
        <xdr:cNvSpPr txBox="1"/>
      </xdr:nvSpPr>
      <xdr:spPr>
        <a:xfrm>
          <a:off x="12720015" y="950567"/>
          <a:ext cx="1516685" cy="349664"/>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51340C-801E-4D8C-825B-8AC1D2F34506}" type="TxLink">
            <a:rPr lang="en-US" sz="3200" b="0" i="0" u="none" strike="noStrike">
              <a:solidFill>
                <a:srgbClr val="BF0426"/>
              </a:solidFill>
              <a:latin typeface="Calibri"/>
              <a:ea typeface="+mn-ea"/>
              <a:cs typeface="Calibri"/>
            </a:rPr>
            <a:pPr marL="0" indent="0" algn="ctr"/>
            <a:t> 10,451 </a:t>
          </a:fld>
          <a:endParaRPr lang="en-US" sz="3200" b="0" i="0" u="none" strike="noStrike">
            <a:solidFill>
              <a:srgbClr val="BF0426"/>
            </a:solidFill>
            <a:latin typeface="Calibri"/>
            <a:ea typeface="+mn-ea"/>
            <a:cs typeface="Calibri"/>
          </a:endParaRPr>
        </a:p>
      </xdr:txBody>
    </xdr:sp>
    <xdr:clientData/>
  </xdr:twoCellAnchor>
  <xdr:twoCellAnchor>
    <xdr:from>
      <xdr:col>8</xdr:col>
      <xdr:colOff>270842</xdr:colOff>
      <xdr:row>4</xdr:row>
      <xdr:rowOff>150467</xdr:rowOff>
    </xdr:from>
    <xdr:to>
      <xdr:col>10</xdr:col>
      <xdr:colOff>566117</xdr:colOff>
      <xdr:row>6</xdr:row>
      <xdr:rowOff>121891</xdr:rowOff>
    </xdr:to>
    <xdr:sp macro="" textlink="'pivot table'!A7">
      <xdr:nvSpPr>
        <xdr:cNvPr id="38" name="TextBox 37">
          <a:extLst>
            <a:ext uri="{FF2B5EF4-FFF2-40B4-BE49-F238E27FC236}">
              <a16:creationId xmlns:a16="http://schemas.microsoft.com/office/drawing/2014/main" id="{57009700-B5C5-4CB1-9E97-6806673623FC}"/>
            </a:ext>
          </a:extLst>
        </xdr:cNvPr>
        <xdr:cNvSpPr txBox="1"/>
      </xdr:nvSpPr>
      <xdr:spPr>
        <a:xfrm>
          <a:off x="5129972" y="923510"/>
          <a:ext cx="1510058" cy="357946"/>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2C8685-863E-4BD5-B5C6-49B98D01701E}" type="TxLink">
            <a:rPr lang="en-US" sz="2800" b="0" i="0" u="none" strike="noStrike">
              <a:solidFill>
                <a:srgbClr val="BF0426"/>
              </a:solidFill>
              <a:latin typeface="Calibri"/>
              <a:ea typeface="+mn-ea"/>
              <a:cs typeface="Calibri"/>
            </a:rPr>
            <a:pPr marL="0" indent="0" algn="ctr"/>
            <a:t> 980,082 </a:t>
          </a:fld>
          <a:endParaRPr lang="en-US" sz="2800" b="0" i="0" u="none" strike="noStrike">
            <a:solidFill>
              <a:srgbClr val="BF0426"/>
            </a:solidFill>
            <a:latin typeface="Calibri"/>
            <a:ea typeface="+mn-ea"/>
            <a:cs typeface="Calibri"/>
          </a:endParaRPr>
        </a:p>
      </xdr:txBody>
    </xdr:sp>
    <xdr:clientData/>
  </xdr:twoCellAnchor>
  <xdr:twoCellAnchor editAs="oneCell">
    <xdr:from>
      <xdr:col>0</xdr:col>
      <xdr:colOff>110711</xdr:colOff>
      <xdr:row>0</xdr:row>
      <xdr:rowOff>66675</xdr:rowOff>
    </xdr:from>
    <xdr:to>
      <xdr:col>3</xdr:col>
      <xdr:colOff>600075</xdr:colOff>
      <xdr:row>7</xdr:row>
      <xdr:rowOff>142875</xdr:rowOff>
    </xdr:to>
    <xdr:pic>
      <xdr:nvPicPr>
        <xdr:cNvPr id="40" name="Picture 39">
          <a:hlinkClick xmlns:r="http://schemas.openxmlformats.org/officeDocument/2006/relationships" r:id="rId1"/>
          <a:extLst>
            <a:ext uri="{FF2B5EF4-FFF2-40B4-BE49-F238E27FC236}">
              <a16:creationId xmlns:a16="http://schemas.microsoft.com/office/drawing/2014/main" id="{E564DBDA-C1E1-F4C7-699D-F007D1A324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0711" y="66675"/>
          <a:ext cx="2318164" cy="140970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4</xdr:col>
      <xdr:colOff>82827</xdr:colOff>
      <xdr:row>8</xdr:row>
      <xdr:rowOff>125342</xdr:rowOff>
    </xdr:from>
    <xdr:to>
      <xdr:col>9</xdr:col>
      <xdr:colOff>358914</xdr:colOff>
      <xdr:row>17</xdr:row>
      <xdr:rowOff>117888</xdr:rowOff>
    </xdr:to>
    <xdr:sp macro="" textlink="">
      <xdr:nvSpPr>
        <xdr:cNvPr id="11" name="Rectangle: Rounded Corners 10">
          <a:extLst>
            <a:ext uri="{FF2B5EF4-FFF2-40B4-BE49-F238E27FC236}">
              <a16:creationId xmlns:a16="http://schemas.microsoft.com/office/drawing/2014/main" id="{2FAB961F-E778-4441-9585-C92C4B348AB4}"/>
            </a:ext>
          </a:extLst>
        </xdr:cNvPr>
        <xdr:cNvSpPr/>
      </xdr:nvSpPr>
      <xdr:spPr>
        <a:xfrm>
          <a:off x="2512392" y="1671429"/>
          <a:ext cx="3313044" cy="1731894"/>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367474</xdr:colOff>
      <xdr:row>8</xdr:row>
      <xdr:rowOff>139146</xdr:rowOff>
    </xdr:from>
    <xdr:to>
      <xdr:col>15</xdr:col>
      <xdr:colOff>41414</xdr:colOff>
      <xdr:row>17</xdr:row>
      <xdr:rowOff>131692</xdr:rowOff>
    </xdr:to>
    <xdr:sp macro="" textlink="">
      <xdr:nvSpPr>
        <xdr:cNvPr id="12" name="Rectangle: Rounded Corners 11">
          <a:extLst>
            <a:ext uri="{FF2B5EF4-FFF2-40B4-BE49-F238E27FC236}">
              <a16:creationId xmlns:a16="http://schemas.microsoft.com/office/drawing/2014/main" id="{33C9F507-6E37-40C6-B431-D7EFA7749256}"/>
            </a:ext>
          </a:extLst>
        </xdr:cNvPr>
        <xdr:cNvSpPr/>
      </xdr:nvSpPr>
      <xdr:spPr>
        <a:xfrm>
          <a:off x="5833996" y="1685233"/>
          <a:ext cx="3318288" cy="1731894"/>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55218</xdr:colOff>
      <xdr:row>8</xdr:row>
      <xdr:rowOff>139146</xdr:rowOff>
    </xdr:from>
    <xdr:to>
      <xdr:col>19</xdr:col>
      <xdr:colOff>1</xdr:colOff>
      <xdr:row>17</xdr:row>
      <xdr:rowOff>131692</xdr:rowOff>
    </xdr:to>
    <xdr:sp macro="" textlink="">
      <xdr:nvSpPr>
        <xdr:cNvPr id="14" name="Rectangle: Rounded Corners 13">
          <a:extLst>
            <a:ext uri="{FF2B5EF4-FFF2-40B4-BE49-F238E27FC236}">
              <a16:creationId xmlns:a16="http://schemas.microsoft.com/office/drawing/2014/main" id="{A6AACC0E-F4E7-4C1A-BEB6-0BF18B1F3BE0}"/>
            </a:ext>
          </a:extLst>
        </xdr:cNvPr>
        <xdr:cNvSpPr/>
      </xdr:nvSpPr>
      <xdr:spPr>
        <a:xfrm>
          <a:off x="9166088" y="1685233"/>
          <a:ext cx="2374348" cy="1731894"/>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165652</xdr:colOff>
      <xdr:row>9</xdr:row>
      <xdr:rowOff>34840</xdr:rowOff>
    </xdr:from>
    <xdr:to>
      <xdr:col>18</xdr:col>
      <xdr:colOff>496957</xdr:colOff>
      <xdr:row>17</xdr:row>
      <xdr:rowOff>13805</xdr:rowOff>
    </xdr:to>
    <xdr:graphicFrame macro="">
      <xdr:nvGraphicFramePr>
        <xdr:cNvPr id="5" name="Chart 4">
          <a:extLst>
            <a:ext uri="{FF2B5EF4-FFF2-40B4-BE49-F238E27FC236}">
              <a16:creationId xmlns:a16="http://schemas.microsoft.com/office/drawing/2014/main" id="{34476F57-C661-4035-814F-F27D9935C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532394</xdr:colOff>
      <xdr:row>9</xdr:row>
      <xdr:rowOff>50059</xdr:rowOff>
    </xdr:from>
    <xdr:to>
      <xdr:col>14</xdr:col>
      <xdr:colOff>483152</xdr:colOff>
      <xdr:row>17</xdr:row>
      <xdr:rowOff>34642</xdr:rowOff>
    </xdr:to>
    <xdr:graphicFrame macro="">
      <xdr:nvGraphicFramePr>
        <xdr:cNvPr id="3" name="Chart 2">
          <a:extLst>
            <a:ext uri="{FF2B5EF4-FFF2-40B4-BE49-F238E27FC236}">
              <a16:creationId xmlns:a16="http://schemas.microsoft.com/office/drawing/2014/main" id="{8D1C0A7C-22A8-44F0-ACE2-0EB7DAAB3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193261</xdr:colOff>
      <xdr:row>8</xdr:row>
      <xdr:rowOff>184045</xdr:rowOff>
    </xdr:from>
    <xdr:to>
      <xdr:col>9</xdr:col>
      <xdr:colOff>220869</xdr:colOff>
      <xdr:row>17</xdr:row>
      <xdr:rowOff>26306</xdr:rowOff>
    </xdr:to>
    <xdr:graphicFrame macro="">
      <xdr:nvGraphicFramePr>
        <xdr:cNvPr id="44" name="Chart 43">
          <a:extLst>
            <a:ext uri="{FF2B5EF4-FFF2-40B4-BE49-F238E27FC236}">
              <a16:creationId xmlns:a16="http://schemas.microsoft.com/office/drawing/2014/main" id="{9F164568-41FD-4B45-B39C-EF5DD8D37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11872</xdr:colOff>
      <xdr:row>8</xdr:row>
      <xdr:rowOff>79514</xdr:rowOff>
    </xdr:from>
    <xdr:to>
      <xdr:col>4</xdr:col>
      <xdr:colOff>53286</xdr:colOff>
      <xdr:row>17</xdr:row>
      <xdr:rowOff>123826</xdr:rowOff>
    </xdr:to>
    <xdr:sp macro="" textlink="">
      <xdr:nvSpPr>
        <xdr:cNvPr id="32" name="Rectangle: Rounded Corners 31">
          <a:extLst>
            <a:ext uri="{FF2B5EF4-FFF2-40B4-BE49-F238E27FC236}">
              <a16:creationId xmlns:a16="http://schemas.microsoft.com/office/drawing/2014/main" id="{DD224DB1-A53C-CF0A-FF0E-1B34AC207E49}"/>
            </a:ext>
          </a:extLst>
        </xdr:cNvPr>
        <xdr:cNvSpPr/>
      </xdr:nvSpPr>
      <xdr:spPr>
        <a:xfrm>
          <a:off x="11872" y="1603514"/>
          <a:ext cx="2479814" cy="1758812"/>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8</xdr:row>
      <xdr:rowOff>152401</xdr:rowOff>
    </xdr:from>
    <xdr:to>
      <xdr:col>3</xdr:col>
      <xdr:colOff>518352</xdr:colOff>
      <xdr:row>17</xdr:row>
      <xdr:rowOff>66675</xdr:rowOff>
    </xdr:to>
    <mc:AlternateContent xmlns:mc="http://schemas.openxmlformats.org/markup-compatibility/2006" xmlns:a14="http://schemas.microsoft.com/office/drawing/2010/main">
      <mc:Choice Requires="a14">
        <xdr:graphicFrame macro="">
          <xdr:nvGraphicFramePr>
            <xdr:cNvPr id="2" name="لون القماش">
              <a:extLst>
                <a:ext uri="{FF2B5EF4-FFF2-40B4-BE49-F238E27FC236}">
                  <a16:creationId xmlns:a16="http://schemas.microsoft.com/office/drawing/2014/main" id="{86705915-CB6F-4BF6-B2F7-FE9C4A8238C4}"/>
                </a:ext>
              </a:extLst>
            </xdr:cNvPr>
            <xdr:cNvGraphicFramePr/>
          </xdr:nvGraphicFramePr>
          <xdr:xfrm>
            <a:off x="0" y="0"/>
            <a:ext cx="0" cy="0"/>
          </xdr:xfrm>
          <a:graphic>
            <a:graphicData uri="http://schemas.microsoft.com/office/drawing/2010/slicer">
              <sle:slicer xmlns:sle="http://schemas.microsoft.com/office/drawing/2010/slicer" name="لون القماش"/>
            </a:graphicData>
          </a:graphic>
        </xdr:graphicFrame>
      </mc:Choice>
      <mc:Fallback xmlns="">
        <xdr:sp macro="" textlink="">
          <xdr:nvSpPr>
            <xdr:cNvPr id="0" name=""/>
            <xdr:cNvSpPr>
              <a:spLocks noTextEdit="1"/>
            </xdr:cNvSpPr>
          </xdr:nvSpPr>
          <xdr:spPr>
            <a:xfrm>
              <a:off x="152400" y="1676401"/>
              <a:ext cx="2194752" cy="1628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69575</xdr:colOff>
      <xdr:row>17</xdr:row>
      <xdr:rowOff>153502</xdr:rowOff>
    </xdr:from>
    <xdr:to>
      <xdr:col>9</xdr:col>
      <xdr:colOff>345662</xdr:colOff>
      <xdr:row>26</xdr:row>
      <xdr:rowOff>146048</xdr:rowOff>
    </xdr:to>
    <xdr:sp macro="" textlink="">
      <xdr:nvSpPr>
        <xdr:cNvPr id="33" name="Rectangle: Rounded Corners 32">
          <a:extLst>
            <a:ext uri="{FF2B5EF4-FFF2-40B4-BE49-F238E27FC236}">
              <a16:creationId xmlns:a16="http://schemas.microsoft.com/office/drawing/2014/main" id="{51C12A7A-589C-462D-BDA3-D6FA94E02D9E}"/>
            </a:ext>
          </a:extLst>
        </xdr:cNvPr>
        <xdr:cNvSpPr/>
      </xdr:nvSpPr>
      <xdr:spPr>
        <a:xfrm>
          <a:off x="2499140" y="3438937"/>
          <a:ext cx="3313044" cy="1731894"/>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354220</xdr:colOff>
      <xdr:row>17</xdr:row>
      <xdr:rowOff>167306</xdr:rowOff>
    </xdr:from>
    <xdr:to>
      <xdr:col>15</xdr:col>
      <xdr:colOff>38099</xdr:colOff>
      <xdr:row>26</xdr:row>
      <xdr:rowOff>171449</xdr:rowOff>
    </xdr:to>
    <xdr:sp macro="" textlink="">
      <xdr:nvSpPr>
        <xdr:cNvPr id="34" name="Rectangle: Rounded Corners 33">
          <a:extLst>
            <a:ext uri="{FF2B5EF4-FFF2-40B4-BE49-F238E27FC236}">
              <a16:creationId xmlns:a16="http://schemas.microsoft.com/office/drawing/2014/main" id="{0888751D-C8ED-4F05-BDFB-D02D41FACF46}"/>
            </a:ext>
          </a:extLst>
        </xdr:cNvPr>
        <xdr:cNvSpPr/>
      </xdr:nvSpPr>
      <xdr:spPr>
        <a:xfrm>
          <a:off x="5840620" y="3405806"/>
          <a:ext cx="3341479" cy="1718643"/>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80066</xdr:colOff>
      <xdr:row>17</xdr:row>
      <xdr:rowOff>171586</xdr:rowOff>
    </xdr:from>
    <xdr:to>
      <xdr:col>19</xdr:col>
      <xdr:colOff>22641</xdr:colOff>
      <xdr:row>26</xdr:row>
      <xdr:rowOff>164132</xdr:rowOff>
    </xdr:to>
    <xdr:sp macro="" textlink="">
      <xdr:nvSpPr>
        <xdr:cNvPr id="35" name="Rectangle: Rounded Corners 34">
          <a:extLst>
            <a:ext uri="{FF2B5EF4-FFF2-40B4-BE49-F238E27FC236}">
              <a16:creationId xmlns:a16="http://schemas.microsoft.com/office/drawing/2014/main" id="{3F84E01B-5210-4705-9B84-D7C13059AA2E}"/>
            </a:ext>
          </a:extLst>
        </xdr:cNvPr>
        <xdr:cNvSpPr/>
      </xdr:nvSpPr>
      <xdr:spPr>
        <a:xfrm>
          <a:off x="9224066" y="3410086"/>
          <a:ext cx="2380975" cy="1707046"/>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496956</xdr:colOff>
      <xdr:row>18</xdr:row>
      <xdr:rowOff>34510</xdr:rowOff>
    </xdr:from>
    <xdr:to>
      <xdr:col>14</xdr:col>
      <xdr:colOff>469348</xdr:colOff>
      <xdr:row>26</xdr:row>
      <xdr:rowOff>96630</xdr:rowOff>
    </xdr:to>
    <xdr:graphicFrame macro="">
      <xdr:nvGraphicFramePr>
        <xdr:cNvPr id="45" name="Chart 44">
          <a:extLst>
            <a:ext uri="{FF2B5EF4-FFF2-40B4-BE49-F238E27FC236}">
              <a16:creationId xmlns:a16="http://schemas.microsoft.com/office/drawing/2014/main" id="{D22E37FB-8FE4-4B9E-B8DC-5C7D8BFE7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151848</xdr:colOff>
      <xdr:row>18</xdr:row>
      <xdr:rowOff>95941</xdr:rowOff>
    </xdr:from>
    <xdr:to>
      <xdr:col>9</xdr:col>
      <xdr:colOff>262282</xdr:colOff>
      <xdr:row>26</xdr:row>
      <xdr:rowOff>27608</xdr:rowOff>
    </xdr:to>
    <xdr:graphicFrame macro="">
      <xdr:nvGraphicFramePr>
        <xdr:cNvPr id="48" name="Chart 47">
          <a:extLst>
            <a:ext uri="{FF2B5EF4-FFF2-40B4-BE49-F238E27FC236}">
              <a16:creationId xmlns:a16="http://schemas.microsoft.com/office/drawing/2014/main" id="{099D50DE-5F9F-40CE-83B3-2AB5C6A72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170897</xdr:colOff>
      <xdr:row>18</xdr:row>
      <xdr:rowOff>90488</xdr:rowOff>
    </xdr:from>
    <xdr:to>
      <xdr:col>18</xdr:col>
      <xdr:colOff>488398</xdr:colOff>
      <xdr:row>26</xdr:row>
      <xdr:rowOff>64743</xdr:rowOff>
    </xdr:to>
    <xdr:graphicFrame macro="">
      <xdr:nvGraphicFramePr>
        <xdr:cNvPr id="47" name="Chart 46">
          <a:extLst>
            <a:ext uri="{FF2B5EF4-FFF2-40B4-BE49-F238E27FC236}">
              <a16:creationId xmlns:a16="http://schemas.microsoft.com/office/drawing/2014/main" id="{106C5481-3BCE-41A9-810E-2295DE489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11872</xdr:colOff>
      <xdr:row>17</xdr:row>
      <xdr:rowOff>127139</xdr:rowOff>
    </xdr:from>
    <xdr:to>
      <xdr:col>4</xdr:col>
      <xdr:colOff>53286</xdr:colOff>
      <xdr:row>26</xdr:row>
      <xdr:rowOff>171451</xdr:rowOff>
    </xdr:to>
    <xdr:sp macro="" textlink="">
      <xdr:nvSpPr>
        <xdr:cNvPr id="39" name="Rectangle: Rounded Corners 38">
          <a:extLst>
            <a:ext uri="{FF2B5EF4-FFF2-40B4-BE49-F238E27FC236}">
              <a16:creationId xmlns:a16="http://schemas.microsoft.com/office/drawing/2014/main" id="{7EBCA38F-7290-4C49-9042-F32C09E1A54E}"/>
            </a:ext>
          </a:extLst>
        </xdr:cNvPr>
        <xdr:cNvSpPr/>
      </xdr:nvSpPr>
      <xdr:spPr>
        <a:xfrm>
          <a:off x="11872" y="3365639"/>
          <a:ext cx="2479814" cy="1758812"/>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114300</xdr:colOff>
      <xdr:row>18</xdr:row>
      <xdr:rowOff>42380</xdr:rowOff>
    </xdr:from>
    <xdr:to>
      <xdr:col>3</xdr:col>
      <xdr:colOff>581025</xdr:colOff>
      <xdr:row>26</xdr:row>
      <xdr:rowOff>57150</xdr:rowOff>
    </xdr:to>
    <mc:AlternateContent xmlns:mc="http://schemas.openxmlformats.org/markup-compatibility/2006" xmlns:a14="http://schemas.microsoft.com/office/drawing/2010/main">
      <mc:Choice Requires="a14">
        <xdr:graphicFrame macro="">
          <xdr:nvGraphicFramePr>
            <xdr:cNvPr id="51" name="المحافظة">
              <a:extLst>
                <a:ext uri="{FF2B5EF4-FFF2-40B4-BE49-F238E27FC236}">
                  <a16:creationId xmlns:a16="http://schemas.microsoft.com/office/drawing/2014/main" id="{4CD8A11E-B800-4B92-8D43-A5F2D1F11A32}"/>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mlns="">
        <xdr:sp macro="" textlink="">
          <xdr:nvSpPr>
            <xdr:cNvPr id="0" name=""/>
            <xdr:cNvSpPr>
              <a:spLocks noTextEdit="1"/>
            </xdr:cNvSpPr>
          </xdr:nvSpPr>
          <xdr:spPr>
            <a:xfrm>
              <a:off x="114300" y="3471380"/>
              <a:ext cx="2295525" cy="1538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28576</xdr:colOff>
      <xdr:row>2</xdr:row>
      <xdr:rowOff>118995</xdr:rowOff>
    </xdr:from>
    <xdr:to>
      <xdr:col>20</xdr:col>
      <xdr:colOff>54252</xdr:colOff>
      <xdr:row>7</xdr:row>
      <xdr:rowOff>38101</xdr:rowOff>
    </xdr:to>
    <xdr:sp macro="" textlink="">
      <xdr:nvSpPr>
        <xdr:cNvPr id="4" name="Rectangle: Rounded Corners 3">
          <a:extLst>
            <a:ext uri="{FF2B5EF4-FFF2-40B4-BE49-F238E27FC236}">
              <a16:creationId xmlns:a16="http://schemas.microsoft.com/office/drawing/2014/main" id="{2F829A15-2DFD-4032-889F-3DBCA7040AA8}"/>
            </a:ext>
          </a:extLst>
        </xdr:cNvPr>
        <xdr:cNvSpPr/>
      </xdr:nvSpPr>
      <xdr:spPr>
        <a:xfrm>
          <a:off x="9782176" y="499995"/>
          <a:ext cx="2464076" cy="871606"/>
        </a:xfrm>
        <a:prstGeom prst="roundRect">
          <a:avLst/>
        </a:prstGeom>
        <a:solidFill>
          <a:srgbClr val="F2F2F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491433</xdr:colOff>
      <xdr:row>4</xdr:row>
      <xdr:rowOff>169517</xdr:rowOff>
    </xdr:from>
    <xdr:to>
      <xdr:col>19</xdr:col>
      <xdr:colOff>177109</xdr:colOff>
      <xdr:row>6</xdr:row>
      <xdr:rowOff>140941</xdr:rowOff>
    </xdr:to>
    <xdr:sp macro="" textlink="'pivot table'!AM7">
      <xdr:nvSpPr>
        <xdr:cNvPr id="37" name="TextBox 36">
          <a:extLst>
            <a:ext uri="{FF2B5EF4-FFF2-40B4-BE49-F238E27FC236}">
              <a16:creationId xmlns:a16="http://schemas.microsoft.com/office/drawing/2014/main" id="{4FDC2CCA-B0AE-485F-8425-623AD29E80E9}"/>
            </a:ext>
          </a:extLst>
        </xdr:cNvPr>
        <xdr:cNvSpPr txBox="1"/>
      </xdr:nvSpPr>
      <xdr:spPr>
        <a:xfrm>
          <a:off x="10245033" y="931517"/>
          <a:ext cx="1514476" cy="352424"/>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5655E0-FAED-4645-A706-AA40E9CD8351}" type="TxLink">
            <a:rPr lang="en-US" sz="3200" b="0" i="0" u="none" strike="noStrike">
              <a:solidFill>
                <a:srgbClr val="BF0426"/>
              </a:solidFill>
              <a:latin typeface="Calibri"/>
              <a:ea typeface="+mn-ea"/>
              <a:cs typeface="Calibri"/>
            </a:rPr>
            <a:pPr marL="0" indent="0" algn="ctr"/>
            <a:t>120</a:t>
          </a:fld>
          <a:endParaRPr lang="en-US" sz="3200" b="0" i="0" u="none" strike="noStrike">
            <a:solidFill>
              <a:srgbClr val="BF0426"/>
            </a:solidFill>
            <a:latin typeface="Calibri"/>
            <a:ea typeface="+mn-ea"/>
            <a:cs typeface="Calibri"/>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maa Abubakr" refreshedDate="45913.949344097222" createdVersion="8" refreshedVersion="8" minRefreshableVersion="3" recordCount="120" xr:uid="{DC997001-605A-4E30-881D-4DD49324C113}">
  <cacheSource type="worksheet">
    <worksheetSource name="Cleaned"/>
  </cacheSource>
  <cacheFields count="23">
    <cacheField name="رقم العملية" numFmtId="1">
      <sharedItems containsMixedTypes="1" containsNumber="1" containsInteger="1" minValue="2514" maxValue="265453625"/>
    </cacheField>
    <cacheField name="رقم الطلب" numFmtId="1">
      <sharedItems containsMixedTypes="1" containsNumber="1" containsInteger="1" minValue="2514" maxValue="1708226"/>
    </cacheField>
    <cacheField name="أسم العميل" numFmtId="0">
      <sharedItems/>
    </cacheField>
    <cacheField name="العنوان" numFmtId="0">
      <sharedItems/>
    </cacheField>
    <cacheField name="المحافظة" numFmtId="0">
      <sharedItems count="13">
        <s v=" الجيزه"/>
        <s v=" الإسكندرية"/>
        <s v="الغردقه"/>
        <s v="غير محدد"/>
        <s v=" القاهره"/>
        <s v="العين السخنه"/>
        <s v="اسيوط "/>
        <s v="المخزن"/>
        <s v="السويس "/>
        <s v=" شيك هومز"/>
        <s v=" كومبوند جولدن جستس "/>
        <s v=" العين السخنه" u="1"/>
        <s v=" العين السخنه " u="1"/>
      </sharedItems>
    </cacheField>
    <cacheField name="منصة البيع " numFmtId="0">
      <sharedItems count="8">
        <s v="هومزمارت"/>
        <s v="شيك هومز"/>
        <s v="فيسبوك"/>
        <s v="تاكى"/>
        <s v="اوسكار ريتن "/>
        <s v="السويس"/>
        <s v="منزلى"/>
        <s v="كيمت "/>
      </sharedItems>
    </cacheField>
    <cacheField name="اسم المنتج" numFmtId="0">
      <sharedItems count="6">
        <s v="سرير"/>
        <s v="ترابيزه"/>
        <s v="كنبة"/>
        <s v="ركنة"/>
        <s v="كرسى"/>
        <s v="شيزلونج"/>
      </sharedItems>
    </cacheField>
    <cacheField name="نوع المنتج" numFmtId="0">
      <sharedItems/>
    </cacheField>
    <cacheField name="الاسم" numFmtId="0">
      <sharedItems/>
    </cacheField>
    <cacheField name="المقاس" numFmtId="1">
      <sharedItems containsMixedTypes="1" containsNumber="1" containsInteger="1" minValue="80" maxValue="160"/>
    </cacheField>
    <cacheField name="اللون المعدن" numFmtId="0">
      <sharedItems/>
    </cacheField>
    <cacheField name="لون القماش" numFmtId="0">
      <sharedItems count="13">
        <s v="ابيض"/>
        <s v="اسود"/>
        <s v="ازرق"/>
        <s v="غير محدد"/>
        <s v="رمادي"/>
        <s v="بيج"/>
        <s v="نبيتى "/>
        <s v="رصاصي مشجر"/>
        <s v="بترولى"/>
        <s v="خشب بنى فاتح"/>
        <s v="ابيض في بنى غامق"/>
        <s v="بنى غامق"/>
        <s v="روك ١٠"/>
      </sharedItems>
    </cacheField>
    <cacheField name="المنتج" numFmtId="0">
      <sharedItems/>
    </cacheField>
    <cacheField name="العدد" numFmtId="1">
      <sharedItems containsSemiMixedTypes="0" containsString="0" containsNumber="1" containsInteger="1" minValue="1" maxValue="4"/>
    </cacheField>
    <cacheField name="سعر البيع " numFmtId="1">
      <sharedItems containsMixedTypes="1" containsNumber="1" minValue="4020" maxValue="22000"/>
    </cacheField>
    <cacheField name="طريقه الدفع " numFmtId="1">
      <sharedItems containsMixedTypes="1" containsNumber="1" minValue="1278.53" maxValue="22000"/>
    </cacheField>
    <cacheField name="ميعاد الطلب" numFmtId="14">
      <sharedItems containsDate="1" containsMixedTypes="1" minDate="2024-07-27T00:00:00" maxDate="2024-12-15T00:00:00"/>
    </cacheField>
    <cacheField name="ميعاد التسليم" numFmtId="14">
      <sharedItems containsDate="1" containsMixedTypes="1" minDate="2024-03-12T00:00:00" maxDate="2025-01-06T00:00:00"/>
    </cacheField>
    <cacheField name="تاريخ التسليم" numFmtId="14">
      <sharedItems containsDate="1" containsMixedTypes="1" minDate="2024-08-10T00:00:00" maxDate="2024-12-30T00:00:00"/>
    </cacheField>
    <cacheField name="المسئول عن التسليم" numFmtId="0">
      <sharedItems/>
    </cacheField>
    <cacheField name="الحالة" numFmtId="0">
      <sharedItems count="6">
        <s v="تم التسليم"/>
        <s v="فشل التسليم"/>
        <s v="لغى"/>
        <s v="مرتجع"/>
        <s v="غير محدد"/>
        <s v="مرفوض "/>
      </sharedItems>
    </cacheField>
    <cacheField name="حالة الطلب" numFmtId="0">
      <sharedItems count="3">
        <s v="Early"/>
        <s v="On Time"/>
        <s v="Late"/>
      </sharedItems>
    </cacheField>
    <cacheField name="حالة البيع" numFmtId="0">
      <sharedItems count="2">
        <s v="Sold"/>
        <s v="Returned"/>
      </sharedItems>
    </cacheField>
  </cacheFields>
  <extLst>
    <ext xmlns:x14="http://schemas.microsoft.com/office/spreadsheetml/2009/9/main" uri="{725AE2AE-9491-48be-B2B4-4EB974FC3084}">
      <x14:pivotCacheDefinition pivotCacheId="482817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غير محدد"/>
    <s v="غير محدد"/>
    <s v="خالد عبد القوى "/>
    <s v="العجوزه "/>
    <x v="0"/>
    <x v="0"/>
    <x v="0"/>
    <s v="منطبق"/>
    <s v="غير محدد"/>
    <s v="غير محدد"/>
    <s v="ابيض"/>
    <x v="0"/>
    <s v="سرير منطبق حديد"/>
    <n v="1"/>
    <n v="10160"/>
    <s v="مسبق الدفع"/>
    <d v="2024-07-27T00:00:00"/>
    <s v="غير محدد"/>
    <d v="2024-08-10T00:00:00"/>
    <s v="شركه شحن "/>
    <x v="0"/>
    <x v="0"/>
    <x v="0"/>
  </r>
  <r>
    <s v="غير محدد"/>
    <s v="غير محدد"/>
    <s v="محمود"/>
    <s v="سموحه "/>
    <x v="1"/>
    <x v="0"/>
    <x v="0"/>
    <s v="منطبق"/>
    <s v="غير محدد"/>
    <s v="غير محدد"/>
    <s v="اسود"/>
    <x v="1"/>
    <s v="سرير منطبق"/>
    <n v="1"/>
    <n v="10160"/>
    <n v="9749"/>
    <d v="2024-07-28T00:00:00"/>
    <s v="غير محدد"/>
    <d v="2024-08-11T00:00:00"/>
    <s v="شركه شحن "/>
    <x v="0"/>
    <x v="0"/>
    <x v="0"/>
  </r>
  <r>
    <s v="غير محدد"/>
    <s v="غير محدد"/>
    <s v="سعيد"/>
    <s v="سيدى عبد الرحمن الساحل"/>
    <x v="1"/>
    <x v="0"/>
    <x v="0"/>
    <s v="دورين"/>
    <s v="كيفنج"/>
    <n v="90"/>
    <s v="ازرق"/>
    <x v="2"/>
    <s v="سرير كيفنج"/>
    <n v="1"/>
    <n v="11455"/>
    <n v="10067.68"/>
    <d v="2024-07-27T00:00:00"/>
    <s v="غير محدد"/>
    <s v="غير محدد"/>
    <s v="فشل التسليم "/>
    <x v="1"/>
    <x v="1"/>
    <x v="1"/>
  </r>
  <r>
    <s v="غير محدد"/>
    <s v="غير محدد"/>
    <s v="ساندرا"/>
    <s v="الغردقه"/>
    <x v="2"/>
    <x v="0"/>
    <x v="1"/>
    <s v="ترابيزه"/>
    <s v="غير محدد"/>
    <s v="غير محدد"/>
    <s v="غير محدد"/>
    <x v="3"/>
    <s v="ترابيزه قهوه متحركه"/>
    <n v="1"/>
    <n v="8642"/>
    <s v="مسبق الدفع"/>
    <d v="2024-08-25T00:00:00"/>
    <d v="2024-09-07T00:00:00"/>
    <d v="2024-08-27T00:00:00"/>
    <s v="شركه شحن "/>
    <x v="0"/>
    <x v="0"/>
    <x v="0"/>
  </r>
  <r>
    <s v="غير محدد"/>
    <s v="غير محدد"/>
    <s v="زينا "/>
    <s v="سيدى عبد الرحمن الساحل"/>
    <x v="1"/>
    <x v="0"/>
    <x v="0"/>
    <s v="دورين"/>
    <s v="نوفال"/>
    <n v="100"/>
    <s v="رمادى"/>
    <x v="3"/>
    <s v="سرير نوفال"/>
    <n v="1"/>
    <n v="12833"/>
    <n v="12974.22"/>
    <d v="2024-08-16T00:00:00"/>
    <d v="2024-08-31T00:00:00"/>
    <s v="غير محدد"/>
    <s v="فشل التسليم "/>
    <x v="1"/>
    <x v="2"/>
    <x v="1"/>
  </r>
  <r>
    <s v="غير محدد"/>
    <s v="غير محدد"/>
    <s v="شيك هومز"/>
    <s v="غير محدد"/>
    <x v="3"/>
    <x v="1"/>
    <x v="2"/>
    <s v="4*1"/>
    <s v="غير محدد"/>
    <s v="غير محدد"/>
    <s v="رمادى"/>
    <x v="3"/>
    <s v="كنبه سرير"/>
    <n v="1"/>
    <n v="14550"/>
    <s v="مسبق الدفع"/>
    <d v="2024-08-14T00:00:00"/>
    <d v="2024-09-03T00:00:00"/>
    <d v="2024-09-05T00:00:00"/>
    <s v="شركه شحن "/>
    <x v="0"/>
    <x v="2"/>
    <x v="0"/>
  </r>
  <r>
    <s v="غير محدد"/>
    <s v="غير محدد"/>
    <s v="احمد "/>
    <s v="التجمع "/>
    <x v="4"/>
    <x v="2"/>
    <x v="2"/>
    <s v="4*1"/>
    <s v="غير محدد"/>
    <s v="غير محدد"/>
    <s v="رمادى"/>
    <x v="3"/>
    <s v="كنبه سرير"/>
    <n v="1"/>
    <n v="12000"/>
    <n v="12000"/>
    <d v="2024-08-17T00:00:00"/>
    <d v="2024-08-20T00:00:00"/>
    <d v="2024-08-19T00:00:00"/>
    <s v="شركه شحن "/>
    <x v="0"/>
    <x v="0"/>
    <x v="0"/>
  </r>
  <r>
    <s v="غير محدد"/>
    <s v="غير محدد"/>
    <s v="يلماز"/>
    <s v="اكتوبر "/>
    <x v="0"/>
    <x v="0"/>
    <x v="0"/>
    <s v="فردى"/>
    <s v="غير محدد"/>
    <s v="غير محدد"/>
    <s v="ابيض"/>
    <x v="3"/>
    <s v="سرير فردى"/>
    <n v="1"/>
    <n v="7228"/>
    <s v="مسبق الدفع"/>
    <d v="2024-08-25T00:00:00"/>
    <d v="2024-09-03T00:00:00"/>
    <d v="2024-09-10T00:00:00"/>
    <s v="شركه شحن "/>
    <x v="0"/>
    <x v="2"/>
    <x v="0"/>
  </r>
  <r>
    <s v="غير محدد"/>
    <s v="غير محدد"/>
    <s v="تاكى"/>
    <s v="العباسيه"/>
    <x v="4"/>
    <x v="3"/>
    <x v="3"/>
    <s v="ركنة بسرير"/>
    <s v="غير محدد"/>
    <s v="غير محدد"/>
    <s v="غير محدد"/>
    <x v="3"/>
    <s v="ركنه"/>
    <n v="1"/>
    <n v="22000"/>
    <n v="22000"/>
    <d v="2024-08-19T00:00:00"/>
    <d v="2024-09-01T00:00:00"/>
    <d v="2024-09-17T00:00:00"/>
    <s v="غير محدد"/>
    <x v="0"/>
    <x v="2"/>
    <x v="0"/>
  </r>
  <r>
    <s v="غير محدد"/>
    <s v="غير محدد"/>
    <s v="تاكى"/>
    <s v="العباسيه"/>
    <x v="4"/>
    <x v="3"/>
    <x v="2"/>
    <s v="سحارة"/>
    <s v="غير محدد"/>
    <s v="غير محدد"/>
    <s v="غير محدد"/>
    <x v="3"/>
    <s v="كنبه سحاره بمخدع"/>
    <n v="2"/>
    <n v="16000"/>
    <n v="16000"/>
    <s v="غير محدد"/>
    <s v="غير محدد"/>
    <s v="غير محدد"/>
    <s v="لغى"/>
    <x v="2"/>
    <x v="1"/>
    <x v="1"/>
  </r>
  <r>
    <s v="غير محدد"/>
    <s v="غير محدد"/>
    <s v="تاكى"/>
    <s v="العباسيه"/>
    <x v="4"/>
    <x v="3"/>
    <x v="2"/>
    <s v="سحارة"/>
    <s v="غير محدد"/>
    <s v="غير محدد"/>
    <s v="غير محدد"/>
    <x v="3"/>
    <s v="كنبه سحاره بدون مخدع"/>
    <n v="2"/>
    <n v="6000"/>
    <n v="12000"/>
    <d v="2024-08-25T00:00:00"/>
    <d v="2024-09-15T00:00:00"/>
    <d v="2024-09-17T00:00:00"/>
    <s v="محمود على "/>
    <x v="0"/>
    <x v="2"/>
    <x v="0"/>
  </r>
  <r>
    <s v="غير محدد"/>
    <s v="غير محدد"/>
    <s v="على رشوان "/>
    <s v="مصر الجديده"/>
    <x v="4"/>
    <x v="0"/>
    <x v="0"/>
    <s v="دورين"/>
    <s v="نوفال"/>
    <n v="80"/>
    <s v="ابيض"/>
    <x v="3"/>
    <s v="سرير نوفال"/>
    <n v="1"/>
    <n v="10499"/>
    <n v="8924"/>
    <d v="2024-09-01T00:00:00"/>
    <d v="2024-09-16T00:00:00"/>
    <d v="2024-09-08T00:00:00"/>
    <s v="شركه شحن "/>
    <x v="0"/>
    <x v="0"/>
    <x v="0"/>
  </r>
  <r>
    <n v="1404561"/>
    <n v="1199284"/>
    <s v="احمد فخرى "/>
    <s v="اكتوبر "/>
    <x v="0"/>
    <x v="0"/>
    <x v="0"/>
    <s v="فردى"/>
    <s v="نوفال"/>
    <n v="80"/>
    <s v="ابيض"/>
    <x v="0"/>
    <s v="سرير فردى خشب موسكى الحديد"/>
    <n v="1"/>
    <n v="7295"/>
    <n v="5895"/>
    <d v="2024-09-05T00:00:00"/>
    <d v="2024-09-14T00:00:00"/>
    <s v="غير محدد"/>
    <s v="لغى"/>
    <x v="2"/>
    <x v="2"/>
    <x v="1"/>
  </r>
  <r>
    <n v="1401137"/>
    <n v="1197500"/>
    <s v="لينا "/>
    <s v="المقطم "/>
    <x v="4"/>
    <x v="0"/>
    <x v="1"/>
    <s v="2 ميكانزم"/>
    <s v="غير محدد"/>
    <s v="غير محدد"/>
    <s v="غير محدد"/>
    <x v="3"/>
    <s v="ترابيزه قهوه مرتفعه"/>
    <n v="1"/>
    <n v="7849"/>
    <s v="مسبق الدفع"/>
    <d v="2024-09-04T00:00:00"/>
    <d v="2024-09-16T00:00:00"/>
    <d v="2024-09-25T00:00:00"/>
    <s v="شركه شحن "/>
    <x v="3"/>
    <x v="2"/>
    <x v="1"/>
  </r>
  <r>
    <s v="غير محدد"/>
    <s v="غير محدد"/>
    <s v="فيصل نعيم "/>
    <s v="التجمع "/>
    <x v="4"/>
    <x v="4"/>
    <x v="0"/>
    <s v="دورين"/>
    <s v="كيفنج"/>
    <n v="120"/>
    <s v="اسود"/>
    <x v="1"/>
    <s v="سرير كيفنج"/>
    <n v="2"/>
    <n v="6180"/>
    <n v="9700"/>
    <d v="2024-09-03T00:00:00"/>
    <d v="2024-09-16T00:00:00"/>
    <d v="2024-09-15T00:00:00"/>
    <s v="محمود على "/>
    <x v="0"/>
    <x v="0"/>
    <x v="0"/>
  </r>
  <r>
    <n v="1400149"/>
    <n v="1196947"/>
    <s v="اللهو الخفي"/>
    <s v="مدينه نصر"/>
    <x v="4"/>
    <x v="0"/>
    <x v="0"/>
    <s v="دورين"/>
    <s v="كينج"/>
    <n v="80"/>
    <s v="ابيض"/>
    <x v="3"/>
    <s v="سرير كينج"/>
    <n v="1"/>
    <n v="11199"/>
    <n v="11310"/>
    <d v="2024-09-04T00:00:00"/>
    <d v="2024-09-18T00:00:00"/>
    <s v="غير محدد"/>
    <s v="لغى"/>
    <x v="2"/>
    <x v="2"/>
    <x v="1"/>
  </r>
  <r>
    <n v="1408099"/>
    <n v="1201057"/>
    <s v="احمد "/>
    <s v="القاهره الجديده"/>
    <x v="4"/>
    <x v="0"/>
    <x v="0"/>
    <s v="فردى"/>
    <s v="فورجينا"/>
    <n v="80"/>
    <s v="ابيض"/>
    <x v="0"/>
    <s v="سرير فردى خشب موسكى الحديد"/>
    <n v="4"/>
    <n v="7987"/>
    <s v="مسبق الدفع"/>
    <d v="2024-09-06T00:00:00"/>
    <d v="2024-09-16T00:00:00"/>
    <d v="2024-09-21T00:00:00"/>
    <s v="محمود على "/>
    <x v="0"/>
    <x v="2"/>
    <x v="0"/>
  </r>
  <r>
    <s v="غير محدد"/>
    <s v="غير محدد"/>
    <s v="تاكى"/>
    <s v="العباسيه"/>
    <x v="4"/>
    <x v="3"/>
    <x v="4"/>
    <s v="فنيسيا"/>
    <s v="غير محدد"/>
    <s v="غير محدد"/>
    <s v="غير محدد"/>
    <x v="3"/>
    <s v="فوتيه فنيسيا"/>
    <n v="2"/>
    <n v="9300"/>
    <n v="9300"/>
    <d v="2024-09-04T00:00:00"/>
    <d v="2024-09-15T00:00:00"/>
    <d v="2024-09-17T00:00:00"/>
    <s v="محمود على "/>
    <x v="0"/>
    <x v="2"/>
    <x v="0"/>
  </r>
  <r>
    <n v="1408098"/>
    <n v="1201057"/>
    <s v="احمد "/>
    <s v="القاهره الجديده"/>
    <x v="4"/>
    <x v="0"/>
    <x v="0"/>
    <s v="فردى"/>
    <s v="فورجينا"/>
    <n v="80"/>
    <s v="ابيض"/>
    <x v="0"/>
    <s v="سرير فردى خشب موسكى الحديد"/>
    <n v="4"/>
    <n v="7987"/>
    <s v="مسبق الدفع"/>
    <d v="2024-09-06T00:00:00"/>
    <d v="2024-09-16T00:00:00"/>
    <d v="2024-09-21T00:00:00"/>
    <s v="محمود على "/>
    <x v="0"/>
    <x v="2"/>
    <x v="0"/>
  </r>
  <r>
    <n v="1408100"/>
    <n v="1201057"/>
    <s v="احمد "/>
    <s v="القاهره الجديده"/>
    <x v="4"/>
    <x v="0"/>
    <x v="0"/>
    <s v="فردى"/>
    <s v="فورجينا"/>
    <n v="80"/>
    <s v="ابيض"/>
    <x v="0"/>
    <s v="سرير فردى خشب موسكى الحديد"/>
    <n v="4"/>
    <n v="7987"/>
    <s v="مسبق الدفع"/>
    <d v="2024-09-06T00:00:00"/>
    <d v="2024-09-16T00:00:00"/>
    <d v="2024-09-21T00:00:00"/>
    <s v="محمود على "/>
    <x v="0"/>
    <x v="2"/>
    <x v="0"/>
  </r>
  <r>
    <n v="1408101"/>
    <n v="1201057"/>
    <s v="احمد "/>
    <s v="القاهره الجديده"/>
    <x v="4"/>
    <x v="0"/>
    <x v="0"/>
    <s v="فردى"/>
    <s v="فورجينا"/>
    <n v="80"/>
    <s v="ابيض"/>
    <x v="0"/>
    <s v="سرير فردى خشب موسكى الحديد"/>
    <n v="4"/>
    <n v="7987"/>
    <s v="مسبق الدفع"/>
    <d v="2024-09-06T00:00:00"/>
    <d v="2024-09-16T00:00:00"/>
    <d v="2024-09-21T00:00:00"/>
    <s v="محمود على "/>
    <x v="0"/>
    <x v="2"/>
    <x v="0"/>
  </r>
  <r>
    <n v="1513856"/>
    <n v="1231946"/>
    <s v="صفاء"/>
    <s v="المعادى"/>
    <x v="4"/>
    <x v="0"/>
    <x v="1"/>
    <s v="2 ميكانزم"/>
    <s v="غير محدد"/>
    <s v="غير محدد"/>
    <s v="غير محدد"/>
    <x v="3"/>
    <s v="ترابيزه قهوه مرتفعه"/>
    <n v="1"/>
    <n v="8849"/>
    <s v="مسبق الدفع"/>
    <d v="2024-09-03T00:00:00"/>
    <d v="2024-10-16T00:00:00"/>
    <s v="غير محدد"/>
    <s v="لغى"/>
    <x v="2"/>
    <x v="2"/>
    <x v="1"/>
  </r>
  <r>
    <n v="1411691"/>
    <n v="1202775"/>
    <s v="حسن حازم"/>
    <s v="اكتوبر "/>
    <x v="0"/>
    <x v="0"/>
    <x v="0"/>
    <s v="فردى"/>
    <s v="اسبانى"/>
    <n v="120"/>
    <s v="ابيض"/>
    <x v="3"/>
    <s v="سرير اسبانى"/>
    <n v="1"/>
    <n v="10987"/>
    <s v="مسبق الدفع"/>
    <d v="2024-09-09T00:00:00"/>
    <d v="2024-09-17T00:00:00"/>
    <d v="2024-09-21T00:00:00"/>
    <s v="محمود على "/>
    <x v="0"/>
    <x v="2"/>
    <x v="0"/>
  </r>
  <r>
    <s v="غير محدد"/>
    <s v="غير محدد"/>
    <s v="شيك هومز"/>
    <s v="غير محدد"/>
    <x v="3"/>
    <x v="1"/>
    <x v="0"/>
    <s v="دورين"/>
    <s v="كينج"/>
    <n v="100"/>
    <s v="ابيض"/>
    <x v="3"/>
    <s v="سرير كينج"/>
    <n v="1"/>
    <n v="9208"/>
    <n v="5781.75"/>
    <d v="2024-09-01T00:00:00"/>
    <d v="2024-09-19T00:00:00"/>
    <d v="2024-09-21T00:00:00"/>
    <s v="محمود على "/>
    <x v="0"/>
    <x v="2"/>
    <x v="0"/>
  </r>
  <r>
    <s v="غير محدد"/>
    <s v="غير محدد"/>
    <s v="شيك هومز"/>
    <s v="غير محدد"/>
    <x v="3"/>
    <x v="1"/>
    <x v="0"/>
    <s v="دورين"/>
    <s v="كينج"/>
    <n v="100"/>
    <s v="اسود"/>
    <x v="3"/>
    <s v="سرير كينج"/>
    <n v="1"/>
    <n v="9208"/>
    <n v="1278.53"/>
    <d v="2024-09-01T00:00:00"/>
    <d v="2024-09-19T00:00:00"/>
    <d v="2024-09-21T00:00:00"/>
    <s v="محمود على "/>
    <x v="0"/>
    <x v="2"/>
    <x v="0"/>
  </r>
  <r>
    <s v="غير محدد"/>
    <s v="غير محدد"/>
    <s v="اوسكار راتن"/>
    <s v="مخزن ابو الغيطابو الغيطابو الغيطابو الغيطابو الغيطابو الغيطابو الغيط"/>
    <x v="4"/>
    <x v="4"/>
    <x v="0"/>
    <s v="فردى"/>
    <s v="فورجينا"/>
    <n v="120"/>
    <s v="ابيض"/>
    <x v="0"/>
    <s v="سرير فردى خشب موسكى الحديد"/>
    <n v="2"/>
    <n v="4020"/>
    <s v="حساب شركه"/>
    <d v="2024-09-12T00:00:00"/>
    <d v="2024-09-21T00:00:00"/>
    <d v="2024-09-22T00:00:00"/>
    <s v="محمود على "/>
    <x v="0"/>
    <x v="2"/>
    <x v="0"/>
  </r>
  <r>
    <s v="غير محدد"/>
    <s v="غير محدد"/>
    <s v="اوسكار راتن"/>
    <s v="مخزن ابو الغيطابو الغيطابو الغيطابو الغيطابو الغيطابو الغيطابو الغيط"/>
    <x v="4"/>
    <x v="4"/>
    <x v="0"/>
    <s v="فردى"/>
    <s v="ارفيل"/>
    <n v="120"/>
    <s v="اسود"/>
    <x v="1"/>
    <s v="سرير ارفيل"/>
    <n v="2"/>
    <n v="4020"/>
    <s v="مسبق الدفع"/>
    <d v="2024-09-12T00:00:00"/>
    <d v="2024-09-21T00:00:00"/>
    <d v="2024-09-22T00:00:00"/>
    <s v="محمود على "/>
    <x v="0"/>
    <x v="2"/>
    <x v="0"/>
  </r>
  <r>
    <n v="1509211"/>
    <n v="1230837"/>
    <s v="صفاء الحكيم"/>
    <s v="العين السخنه"/>
    <x v="5"/>
    <x v="0"/>
    <x v="0"/>
    <s v="منطبق"/>
    <s v="غير محدد"/>
    <s v="غير محدد"/>
    <s v="اسود"/>
    <x v="1"/>
    <s v="سرير منطبق"/>
    <n v="1"/>
    <n v="9399"/>
    <s v="مسبق الدفع"/>
    <d v="2024-09-14T00:00:00"/>
    <d v="2024-09-22T00:00:00"/>
    <s v="فشل التسليم"/>
    <s v="فشل التسليم "/>
    <x v="1"/>
    <x v="2"/>
    <x v="1"/>
  </r>
  <r>
    <n v="1536687"/>
    <n v="1237682"/>
    <s v="يوسف شناوى"/>
    <s v="الابراهيميه "/>
    <x v="1"/>
    <x v="0"/>
    <x v="1"/>
    <s v="رف سحاب"/>
    <s v="غير محدد"/>
    <s v="غير محدد"/>
    <s v="غير محدد"/>
    <x v="3"/>
    <s v="ترابيزه قهوه مرتفعه برف سحاب"/>
    <n v="1"/>
    <n v="8349"/>
    <s v="مسبق الدفع"/>
    <d v="2024-09-14T00:00:00"/>
    <d v="2024-09-22T00:00:00"/>
    <d v="2024-09-24T00:00:00"/>
    <s v="شركه شحن "/>
    <x v="0"/>
    <x v="2"/>
    <x v="0"/>
  </r>
  <r>
    <n v="1520537"/>
    <n v="1233624"/>
    <s v="حاتم العيسوي "/>
    <s v="اكتوبر "/>
    <x v="0"/>
    <x v="0"/>
    <x v="0"/>
    <s v="منطبق"/>
    <s v="غير محدد"/>
    <s v="غير محدد"/>
    <s v="اسود"/>
    <x v="1"/>
    <s v="سرير منطبق حديد"/>
    <n v="1"/>
    <n v="9399"/>
    <s v="مسبق الدفع"/>
    <d v="2024-09-13T00:00:00"/>
    <d v="2024-09-24T00:00:00"/>
    <d v="2024-10-01T00:00:00"/>
    <s v="شركه شحن "/>
    <x v="0"/>
    <x v="2"/>
    <x v="0"/>
  </r>
  <r>
    <n v="1422998"/>
    <n v="1207350"/>
    <s v="رنا "/>
    <s v="القطاميه"/>
    <x v="4"/>
    <x v="0"/>
    <x v="1"/>
    <s v="2 ميكانزم"/>
    <s v="غير محدد"/>
    <s v="غير محدد"/>
    <s v="غير محدد"/>
    <x v="3"/>
    <s v="ترابيزه قهوه مرتفعه"/>
    <n v="1"/>
    <n v="7849"/>
    <n v="7928"/>
    <d v="2024-09-12T00:00:00"/>
    <d v="2024-09-26T00:00:00"/>
    <s v="غير محدد"/>
    <s v="شركه شحن "/>
    <x v="0"/>
    <x v="2"/>
    <x v="0"/>
  </r>
  <r>
    <s v="غير محدد"/>
    <s v="غير محدد"/>
    <s v="عبير نورالدين"/>
    <s v="بولاق "/>
    <x v="0"/>
    <x v="2"/>
    <x v="0"/>
    <s v="ثلاثه ادوار"/>
    <s v="كيفنج"/>
    <n v="100"/>
    <s v="اسود"/>
    <x v="3"/>
    <s v="سرير ادوار"/>
    <n v="3"/>
    <n v="9450"/>
    <n v="9450"/>
    <d v="2024-09-12T00:00:00"/>
    <d v="2024-09-26T00:00:00"/>
    <s v="غير محدد"/>
    <s v="لغى"/>
    <x v="2"/>
    <x v="2"/>
    <x v="1"/>
  </r>
  <r>
    <n v="1459790"/>
    <n v="1218257"/>
    <s v="اسراء ابو العنين "/>
    <s v="القاهره الجديده"/>
    <x v="4"/>
    <x v="0"/>
    <x v="0"/>
    <s v="فردى"/>
    <s v="اسبانى"/>
    <n v="120"/>
    <s v="اسود"/>
    <x v="3"/>
    <s v="سرير اسبانى"/>
    <n v="1"/>
    <n v="7460"/>
    <s v="مسبق الدفع"/>
    <d v="2024-09-13T00:00:00"/>
    <d v="2024-09-26T00:00:00"/>
    <d v="2024-10-03T00:00:00"/>
    <s v="محمود على "/>
    <x v="0"/>
    <x v="2"/>
    <x v="0"/>
  </r>
  <r>
    <n v="1455486"/>
    <n v="1217163"/>
    <s v="وائل صادق"/>
    <s v="القاهره الجديده"/>
    <x v="4"/>
    <x v="0"/>
    <x v="0"/>
    <s v="فردى"/>
    <s v="كورين"/>
    <n v="140"/>
    <s v="دهبي"/>
    <x v="4"/>
    <s v="سرير كوين"/>
    <n v="1"/>
    <n v="9528"/>
    <s v="مسبق الدفع"/>
    <d v="2024-09-13T00:00:00"/>
    <d v="2024-09-26T00:00:00"/>
    <d v="2024-10-03T00:00:00"/>
    <s v="محمود على "/>
    <x v="0"/>
    <x v="2"/>
    <x v="0"/>
  </r>
  <r>
    <n v="1504407"/>
    <n v="1229760"/>
    <s v="حسن مغرب "/>
    <s v="اكتوبر "/>
    <x v="0"/>
    <x v="0"/>
    <x v="0"/>
    <s v="دورين"/>
    <s v="كيفنج"/>
    <n v="120"/>
    <s v="رمادى"/>
    <x v="3"/>
    <s v="سرير كيفنج"/>
    <n v="1"/>
    <n v="12999"/>
    <s v="مسبق الدفع"/>
    <d v="2024-09-14T00:00:00"/>
    <d v="2024-09-27T00:00:00"/>
    <d v="2024-10-02T00:00:00"/>
    <s v="محمود على "/>
    <x v="0"/>
    <x v="2"/>
    <x v="0"/>
  </r>
  <r>
    <n v="1423361"/>
    <n v="1207484"/>
    <s v="على السيد "/>
    <s v="الشروق "/>
    <x v="4"/>
    <x v="0"/>
    <x v="0"/>
    <s v="دورين"/>
    <s v="نوفال"/>
    <n v="90"/>
    <s v="اسود"/>
    <x v="3"/>
    <s v="سرير نوفال"/>
    <n v="1"/>
    <n v="5999"/>
    <s v="مسبق الدفع"/>
    <d v="2024-09-12T00:00:00"/>
    <d v="2024-09-29T00:00:00"/>
    <s v="غير محدد"/>
    <s v="غير محدد"/>
    <x v="4"/>
    <x v="2"/>
    <x v="1"/>
  </r>
  <r>
    <n v="1415725"/>
    <n v="1204732"/>
    <s v="هشام بسيونى "/>
    <s v="حدايق الاهرام "/>
    <x v="4"/>
    <x v="0"/>
    <x v="0"/>
    <s v="دورين"/>
    <s v="كيفنج"/>
    <n v="100"/>
    <s v="اسود"/>
    <x v="1"/>
    <s v="سرير كيفنج"/>
    <n v="2"/>
    <n v="11949"/>
    <n v="10749"/>
    <d v="2024-09-12T00:00:00"/>
    <d v="2024-09-29T00:00:00"/>
    <d v="2024-10-02T00:00:00"/>
    <s v="محمود على "/>
    <x v="0"/>
    <x v="2"/>
    <x v="0"/>
  </r>
  <r>
    <n v="1415726"/>
    <n v="1204732"/>
    <s v="هشام بسيونى "/>
    <s v="حدايق الاهرام "/>
    <x v="4"/>
    <x v="0"/>
    <x v="0"/>
    <s v="دورين"/>
    <s v="كيفنج"/>
    <n v="100"/>
    <s v="اسود"/>
    <x v="1"/>
    <s v="سرير كيفنج"/>
    <n v="2"/>
    <n v="11949"/>
    <n v="10749"/>
    <d v="2024-09-12T00:00:00"/>
    <d v="2024-09-29T00:00:00"/>
    <d v="2024-10-02T00:00:00"/>
    <s v="محمود على "/>
    <x v="0"/>
    <x v="2"/>
    <x v="0"/>
  </r>
  <r>
    <n v="1499397"/>
    <n v="1228586"/>
    <s v="احمد "/>
    <s v="الشروق "/>
    <x v="4"/>
    <x v="0"/>
    <x v="0"/>
    <s v="ثلاثه ادوار"/>
    <s v="كيفنج"/>
    <n v="80"/>
    <s v="ابيض"/>
    <x v="3"/>
    <s v="سرير ادوار"/>
    <n v="3"/>
    <n v="16599"/>
    <s v="مسبق الدفع"/>
    <d v="2024-09-13T00:00:00"/>
    <d v="2024-09-30T00:00:00"/>
    <d v="2024-10-03T00:00:00"/>
    <s v="محمود على "/>
    <x v="0"/>
    <x v="2"/>
    <x v="0"/>
  </r>
  <r>
    <n v="1458696"/>
    <n v="1217982"/>
    <s v="ساره وجيه "/>
    <s v="الغردقه"/>
    <x v="2"/>
    <x v="0"/>
    <x v="0"/>
    <s v="دورين"/>
    <s v="كيفنج"/>
    <n v="80"/>
    <s v="ابيض"/>
    <x v="0"/>
    <s v="سرير كيفنج دورين"/>
    <n v="1"/>
    <n v="10999"/>
    <s v="مسبق الدفع"/>
    <d v="2024-09-13T00:00:00"/>
    <d v="2024-09-30T00:00:00"/>
    <d v="2024-10-16T00:00:00"/>
    <s v="شركه شحن "/>
    <x v="0"/>
    <x v="2"/>
    <x v="0"/>
  </r>
  <r>
    <n v="1480814"/>
    <n v="1223964"/>
    <s v="مها "/>
    <s v="لافيستا "/>
    <x v="5"/>
    <x v="0"/>
    <x v="0"/>
    <s v="دورين"/>
    <s v="كيفنج"/>
    <n v="140"/>
    <s v="ازرق"/>
    <x v="3"/>
    <s v="سرير استيل"/>
    <n v="1"/>
    <n v="13099"/>
    <s v="مسبق الدفع"/>
    <d v="2024-09-13T00:00:00"/>
    <d v="2024-09-30T00:00:00"/>
    <d v="2024-10-03T00:00:00"/>
    <s v="شركه شحن "/>
    <x v="0"/>
    <x v="2"/>
    <x v="0"/>
  </r>
  <r>
    <n v="1492471"/>
    <n v="1227052"/>
    <s v="بسام الشربينى "/>
    <s v="اكتوبر "/>
    <x v="0"/>
    <x v="0"/>
    <x v="0"/>
    <s v="دورين"/>
    <s v="كينج"/>
    <n v="120"/>
    <s v="بنفسجى"/>
    <x v="3"/>
    <s v="سرير كينج"/>
    <n v="1"/>
    <n v="13849"/>
    <s v="مسبق الدفع"/>
    <d v="2024-09-13T00:00:00"/>
    <d v="2024-09-30T00:00:00"/>
    <d v="2024-10-20T00:00:00"/>
    <s v="محمود على "/>
    <x v="0"/>
    <x v="2"/>
    <x v="0"/>
  </r>
  <r>
    <n v="1507912"/>
    <n v="1230527"/>
    <s v="هبه عبد الفتاح "/>
    <s v="القاهره الجديده"/>
    <x v="4"/>
    <x v="0"/>
    <x v="2"/>
    <s v="4*1"/>
    <s v="غير محدد"/>
    <s v="غير محدد"/>
    <s v="اسود"/>
    <x v="4"/>
    <s v="كنبه سرير حركه"/>
    <n v="4"/>
    <n v="21999"/>
    <s v="مسبق الدفع"/>
    <d v="2024-09-13T00:00:00"/>
    <d v="2024-09-30T00:00:00"/>
    <s v="غير محدد"/>
    <s v="محمود على "/>
    <x v="0"/>
    <x v="2"/>
    <x v="0"/>
  </r>
  <r>
    <n v="1525747"/>
    <n v="1234936"/>
    <s v="اسراء ابراهيم "/>
    <s v="اكتوبر "/>
    <x v="0"/>
    <x v="0"/>
    <x v="0"/>
    <s v="دورين"/>
    <s v="كيفنج"/>
    <n v="80"/>
    <s v="ابيض"/>
    <x v="0"/>
    <s v="سرير كيفنج دورين"/>
    <n v="1"/>
    <n v="10999"/>
    <s v="مسبق الدفع"/>
    <d v="2024-09-13T00:00:00"/>
    <d v="2024-09-30T00:00:00"/>
    <d v="2024-10-15T00:00:00"/>
    <s v="محمود على "/>
    <x v="0"/>
    <x v="2"/>
    <x v="0"/>
  </r>
  <r>
    <n v="1536313"/>
    <n v="1237601"/>
    <s v="طارق كمال "/>
    <s v="المعادى"/>
    <x v="4"/>
    <x v="0"/>
    <x v="0"/>
    <s v="ثلاثه ادوار"/>
    <s v="كيفنج"/>
    <n v="90"/>
    <s v="اسود"/>
    <x v="3"/>
    <s v="سرير ادوار"/>
    <n v="3"/>
    <n v="17249"/>
    <s v="مسبق الدفع"/>
    <d v="2024-09-13T00:00:00"/>
    <d v="2024-09-30T00:00:00"/>
    <d v="2024-10-04T00:00:00"/>
    <s v="محمود على "/>
    <x v="0"/>
    <x v="2"/>
    <x v="0"/>
  </r>
  <r>
    <n v="1505609"/>
    <n v="1230031"/>
    <s v="ديفد بهجت "/>
    <s v="فيصل "/>
    <x v="0"/>
    <x v="0"/>
    <x v="1"/>
    <s v="2 ميكانزم"/>
    <s v="غير محدد"/>
    <s v="غير محدد"/>
    <s v="غير محدد"/>
    <x v="3"/>
    <s v="ترابيزه قهوه مرتفعه"/>
    <n v="2"/>
    <n v="8349"/>
    <s v="مسبق الدفع"/>
    <d v="2024-09-14T00:00:00"/>
    <d v="2024-10-16T00:00:00"/>
    <d v="2024-10-21T00:00:00"/>
    <s v="محمود على "/>
    <x v="0"/>
    <x v="2"/>
    <x v="0"/>
  </r>
  <r>
    <n v="1612229"/>
    <n v="1254076"/>
    <s v="اياد "/>
    <s v="المقطم "/>
    <x v="4"/>
    <x v="0"/>
    <x v="1"/>
    <s v="ترابيزه"/>
    <s v="غير محدد"/>
    <s v="غير محدد"/>
    <s v="غير محدد"/>
    <x v="3"/>
    <s v="ترابيزه قهوه متحركه"/>
    <n v="1"/>
    <n v="7849"/>
    <s v="مسبق الدفع"/>
    <d v="2024-09-14T00:00:00"/>
    <d v="2024-10-29T00:00:00"/>
    <d v="2024-10-30T00:00:00"/>
    <s v="محمود على "/>
    <x v="0"/>
    <x v="2"/>
    <x v="0"/>
  </r>
  <r>
    <n v="1673771"/>
    <n v="1269559"/>
    <s v="ميار خورشد"/>
    <s v="اكتوبر "/>
    <x v="0"/>
    <x v="0"/>
    <x v="0"/>
    <s v="منطبق"/>
    <s v="غير محدد"/>
    <s v="غير محدد"/>
    <s v="اسود"/>
    <x v="3"/>
    <s v="سرير منطبق حديد"/>
    <n v="1"/>
    <n v="9399"/>
    <s v="مسبق الدفع"/>
    <d v="2024-09-14T00:00:00"/>
    <d v="2024-10-29T00:00:00"/>
    <d v="2024-10-15T00:00:00"/>
    <s v="محمود على "/>
    <x v="0"/>
    <x v="0"/>
    <x v="0"/>
  </r>
  <r>
    <n v="1667352"/>
    <n v="1267819"/>
    <s v="عبد الله سيد "/>
    <s v="اكتوبر "/>
    <x v="0"/>
    <x v="0"/>
    <x v="0"/>
    <s v="فردى"/>
    <s v="اسبانى"/>
    <n v="140"/>
    <s v="اسود"/>
    <x v="5"/>
    <s v="سرير اسبانى"/>
    <n v="1"/>
    <n v="11817"/>
    <s v="مسبق الدفع"/>
    <d v="2024-09-14T00:00:00"/>
    <d v="2024-10-29T00:00:00"/>
    <d v="2024-10-15T00:00:00"/>
    <s v="محمود على "/>
    <x v="0"/>
    <x v="0"/>
    <x v="0"/>
  </r>
  <r>
    <n v="1649781"/>
    <n v="1263160"/>
    <s v="كينج سونا "/>
    <s v="الشروق "/>
    <x v="4"/>
    <x v="0"/>
    <x v="1"/>
    <s v="رف سحاب"/>
    <s v="غير محدد"/>
    <s v="غير محدد"/>
    <s v="غير محدد"/>
    <x v="3"/>
    <s v="ترابيزه قهوه مرتفعه برف سحاب"/>
    <n v="1"/>
    <n v="8349"/>
    <s v="مسبق الدفع"/>
    <d v="2024-09-14T00:00:00"/>
    <d v="2024-10-29T00:00:00"/>
    <d v="2024-10-19T00:00:00"/>
    <s v="محمود على "/>
    <x v="0"/>
    <x v="0"/>
    <x v="0"/>
  </r>
  <r>
    <n v="1681476"/>
    <n v="1271813"/>
    <s v="احمد خالد "/>
    <s v="الرحاب"/>
    <x v="4"/>
    <x v="0"/>
    <x v="0"/>
    <s v="فردى"/>
    <s v="فورجينا"/>
    <n v="120"/>
    <s v="ابيض"/>
    <x v="0"/>
    <s v="سرير فورجينا"/>
    <n v="2"/>
    <n v="17886"/>
    <s v="مسبق الدفع"/>
    <d v="2024-09-14T00:00:00"/>
    <d v="2024-10-29T00:00:00"/>
    <s v="غير محدد"/>
    <s v="لغى"/>
    <x v="2"/>
    <x v="2"/>
    <x v="1"/>
  </r>
  <r>
    <n v="1681477"/>
    <n v="1271813"/>
    <s v="احمد خالد "/>
    <s v="الرحاب"/>
    <x v="4"/>
    <x v="0"/>
    <x v="0"/>
    <s v="فردى"/>
    <s v="فورجينا"/>
    <n v="120"/>
    <s v="ابيض"/>
    <x v="0"/>
    <s v="سرير فورجينا"/>
    <n v="2"/>
    <n v="17886"/>
    <s v="مسبق الدفع"/>
    <d v="2024-09-14T00:00:00"/>
    <d v="2024-10-29T00:00:00"/>
    <s v="غير محدد"/>
    <s v="لغى"/>
    <x v="2"/>
    <x v="2"/>
    <x v="1"/>
  </r>
  <r>
    <n v="1677530"/>
    <n v="1270704"/>
    <s v="ساره"/>
    <s v="القاهره الجديده"/>
    <x v="4"/>
    <x v="0"/>
    <x v="0"/>
    <s v="فردى"/>
    <s v="اسبانى"/>
    <n v="120"/>
    <s v="ابيض"/>
    <x v="0"/>
    <s v="سرير اسبانى"/>
    <n v="2"/>
    <n v="10987"/>
    <s v="مسبق الدفع"/>
    <d v="2024-09-14T00:00:00"/>
    <d v="2024-10-29T00:00:00"/>
    <d v="2024-10-13T00:00:00"/>
    <s v="محمود على "/>
    <x v="0"/>
    <x v="0"/>
    <x v="0"/>
  </r>
  <r>
    <n v="1677528"/>
    <n v="1270704"/>
    <s v="ساره"/>
    <s v="القاهره الجديده"/>
    <x v="4"/>
    <x v="0"/>
    <x v="0"/>
    <s v="فردى"/>
    <s v="اسبانى"/>
    <n v="120"/>
    <s v="ابيض"/>
    <x v="0"/>
    <s v="سرير اسبانى"/>
    <n v="2"/>
    <n v="10987"/>
    <s v="مسبق الدفع"/>
    <d v="2024-09-14T00:00:00"/>
    <d v="2024-10-29T00:00:00"/>
    <d v="2024-10-13T00:00:00"/>
    <s v="محمود على "/>
    <x v="0"/>
    <x v="0"/>
    <x v="0"/>
  </r>
  <r>
    <n v="1657744"/>
    <n v="1265268"/>
    <s v="احمد ايمن "/>
    <s v="العبور"/>
    <x v="4"/>
    <x v="0"/>
    <x v="1"/>
    <s v="2 ميكانزم"/>
    <s v="غير محدد"/>
    <s v="غير محدد"/>
    <s v="غير محدد"/>
    <x v="3"/>
    <s v="ترابيزه قهوه مرتفعه"/>
    <n v="1"/>
    <n v="10319"/>
    <s v="مسبق الدفع"/>
    <d v="2024-09-14T00:00:00"/>
    <d v="2024-10-29T00:00:00"/>
    <d v="2024-10-19T00:00:00"/>
    <s v="محمود على "/>
    <x v="0"/>
    <x v="0"/>
    <x v="0"/>
  </r>
  <r>
    <n v="1610613"/>
    <n v="1253646"/>
    <s v="مصطفي غنيم "/>
    <s v="اسيوط "/>
    <x v="6"/>
    <x v="0"/>
    <x v="0"/>
    <s v="دورين"/>
    <s v="كيفنج"/>
    <n v="120"/>
    <s v="رمادى"/>
    <x v="4"/>
    <s v="سرير كيفنج دورين"/>
    <n v="1"/>
    <n v="12999"/>
    <s v="مسبق الدفع"/>
    <d v="2024-09-14T00:00:00"/>
    <d v="2024-11-20T00:00:00"/>
    <d v="2024-10-17T00:00:00"/>
    <s v="شركه شحن "/>
    <x v="0"/>
    <x v="0"/>
    <x v="0"/>
  </r>
  <r>
    <n v="1608468"/>
    <n v="1253172"/>
    <s v="حسام عبدون"/>
    <s v="الغردقه"/>
    <x v="2"/>
    <x v="0"/>
    <x v="2"/>
    <s v="4*1"/>
    <s v="غير محدد"/>
    <s v="غير محدد"/>
    <s v="اسود"/>
    <x v="4"/>
    <s v="كنبه سرير حركه"/>
    <n v="4"/>
    <n v="21999"/>
    <s v="مسبق الدفع"/>
    <d v="2024-09-14T00:00:00"/>
    <d v="2024-11-20T00:00:00"/>
    <s v="غير محدد"/>
    <s v="لغى"/>
    <x v="2"/>
    <x v="2"/>
    <x v="1"/>
  </r>
  <r>
    <n v="1654554"/>
    <n v="1264469"/>
    <s v="رامى "/>
    <s v="الشروق "/>
    <x v="4"/>
    <x v="0"/>
    <x v="0"/>
    <s v="دورين"/>
    <s v="نوفال"/>
    <n v="100"/>
    <s v="رمادى"/>
    <x v="3"/>
    <s v="سرير نوفال"/>
    <n v="1"/>
    <n v="12399"/>
    <s v="مسبق الدفع"/>
    <d v="2024-09-14T00:00:00"/>
    <d v="2024-11-20T00:00:00"/>
    <d v="2024-10-01T00:00:00"/>
    <s v="شركه شحن "/>
    <x v="0"/>
    <x v="0"/>
    <x v="0"/>
  </r>
  <r>
    <n v="1644504"/>
    <n v="1261644"/>
    <s v="رحاب"/>
    <s v="القاهره الجديده"/>
    <x v="4"/>
    <x v="0"/>
    <x v="2"/>
    <s v="4*1"/>
    <s v="غير محدد"/>
    <s v="غير محدد"/>
    <s v="اسود"/>
    <x v="4"/>
    <s v="كنبه سرير حركه"/>
    <n v="4"/>
    <n v="21999"/>
    <s v="مسبق الدفع"/>
    <d v="2024-09-14T00:00:00"/>
    <d v="2024-11-20T00:00:00"/>
    <d v="2024-10-09T00:00:00"/>
    <s v="محمود على "/>
    <x v="0"/>
    <x v="0"/>
    <x v="0"/>
  </r>
  <r>
    <n v="1655447"/>
    <n v="1264684"/>
    <s v="فؤاد المنسي "/>
    <s v="المقطم "/>
    <x v="4"/>
    <x v="0"/>
    <x v="0"/>
    <s v="دورين"/>
    <s v="نوفال"/>
    <n v="80"/>
    <s v="ابيض"/>
    <x v="0"/>
    <s v="سرير نوفال"/>
    <n v="1"/>
    <n v="10999"/>
    <s v="مسبق الدفع"/>
    <d v="2024-09-14T00:00:00"/>
    <d v="2024-11-20T00:00:00"/>
    <d v="2024-10-16T00:00:00"/>
    <s v="محمود على "/>
    <x v="0"/>
    <x v="0"/>
    <x v="0"/>
  </r>
  <r>
    <n v="1679731"/>
    <n v="1271291"/>
    <s v="مهند"/>
    <s v="المعادى"/>
    <x v="4"/>
    <x v="0"/>
    <x v="0"/>
    <s v="دورين"/>
    <s v="كيفنج"/>
    <n v="80"/>
    <s v="ابيض"/>
    <x v="3"/>
    <s v="سرير دورين"/>
    <n v="1"/>
    <n v="10999"/>
    <s v="مسبق الدفع"/>
    <d v="2024-09-15T00:00:00"/>
    <d v="2024-11-20T00:00:00"/>
    <d v="2024-10-16T00:00:00"/>
    <s v="محمود على "/>
    <x v="0"/>
    <x v="0"/>
    <x v="0"/>
  </r>
  <r>
    <n v="1679739"/>
    <n v="1271291"/>
    <s v="مهند"/>
    <s v="المعادى"/>
    <x v="4"/>
    <x v="0"/>
    <x v="0"/>
    <s v="دورين"/>
    <s v="كيفنج"/>
    <n v="80"/>
    <s v="ابيض"/>
    <x v="3"/>
    <s v="سرير دورين"/>
    <n v="1"/>
    <n v="10999"/>
    <s v="مسبق الدفع"/>
    <d v="2024-09-15T00:00:00"/>
    <d v="2024-11-20T00:00:00"/>
    <d v="2024-10-16T00:00:00"/>
    <s v="محمود على "/>
    <x v="0"/>
    <x v="0"/>
    <x v="0"/>
  </r>
  <r>
    <n v="1670668"/>
    <n v="1268695"/>
    <s v="محمد أيمن"/>
    <s v="مدينة بدر"/>
    <x v="4"/>
    <x v="0"/>
    <x v="2"/>
    <s v="4*1"/>
    <s v="غير محدد"/>
    <s v="غير محدد"/>
    <s v="اسود"/>
    <x v="4"/>
    <s v="كنبة "/>
    <n v="1"/>
    <n v="21999"/>
    <s v="مسبق الدفع"/>
    <d v="2024-09-15T00:00:00"/>
    <d v="2024-11-20T00:00:00"/>
    <d v="2024-10-19T00:00:00"/>
    <s v="محمود على "/>
    <x v="0"/>
    <x v="0"/>
    <x v="0"/>
  </r>
  <r>
    <n v="1416625"/>
    <n v="1205197"/>
    <s v="اسامه"/>
    <s v="العين السخنه"/>
    <x v="5"/>
    <x v="0"/>
    <x v="1"/>
    <s v="2 ميكانزم"/>
    <s v="غير محدد"/>
    <s v="غير محدد"/>
    <s v="غير محدد"/>
    <x v="3"/>
    <s v="ترابيزه 2 ميكانزم"/>
    <n v="1"/>
    <n v="7849"/>
    <n v="6306"/>
    <d v="2024-09-16T00:00:00"/>
    <d v="2024-10-30T00:00:00"/>
    <d v="2024-11-14T00:00:00"/>
    <s v="شركه شحن "/>
    <x v="0"/>
    <x v="2"/>
    <x v="0"/>
  </r>
  <r>
    <s v="غير محدد"/>
    <s v="غير محدد"/>
    <s v="اوسكار راتن"/>
    <s v="المخزن"/>
    <x v="7"/>
    <x v="4"/>
    <x v="0"/>
    <s v="دورين"/>
    <s v="كيفنج"/>
    <n v="80"/>
    <s v="ابيض"/>
    <x v="3"/>
    <s v="سرير دورين"/>
    <n v="1"/>
    <n v="5074"/>
    <s v="حساب شركه"/>
    <d v="2024-09-21T00:00:00"/>
    <d v="2024-10-05T00:00:00"/>
    <d v="2024-10-12T00:00:00"/>
    <s v="محمود على "/>
    <x v="0"/>
    <x v="2"/>
    <x v="0"/>
  </r>
  <r>
    <n v="2514"/>
    <n v="2514"/>
    <s v="تاكى"/>
    <s v="العباسيه"/>
    <x v="4"/>
    <x v="3"/>
    <x v="0"/>
    <s v="دورين"/>
    <s v="كينج"/>
    <n v="100"/>
    <s v="اسودوبنى"/>
    <x v="3"/>
    <s v="سرير دورين"/>
    <n v="1"/>
    <n v="6250"/>
    <s v="حساب شركه"/>
    <d v="2024-09-23T00:00:00"/>
    <d v="2024-10-08T00:00:00"/>
    <d v="2024-10-17T00:00:00"/>
    <s v="محمود على "/>
    <x v="0"/>
    <x v="2"/>
    <x v="0"/>
  </r>
  <r>
    <n v="1706794"/>
    <n v="1281428"/>
    <s v="ولاء بدوى"/>
    <s v="العباسيه"/>
    <x v="4"/>
    <x v="0"/>
    <x v="0"/>
    <s v="فردى"/>
    <s v="فورجينا"/>
    <n v="120"/>
    <s v="ابيض"/>
    <x v="3"/>
    <s v="سرير فردي"/>
    <n v="1"/>
    <n v="8943"/>
    <n v="9033"/>
    <d v="2024-09-26T00:00:00"/>
    <d v="2024-11-10T00:00:00"/>
    <d v="2024-10-10T00:00:00"/>
    <s v="محمود على "/>
    <x v="0"/>
    <x v="0"/>
    <x v="0"/>
  </r>
  <r>
    <n v="1704621"/>
    <n v="1280197"/>
    <s v="عبد الرحمن يسري"/>
    <s v="اكتوبر "/>
    <x v="0"/>
    <x v="0"/>
    <x v="1"/>
    <s v="رف سحاب"/>
    <s v="غير محدد"/>
    <s v="غير محدد"/>
    <s v="غير محدد"/>
    <x v="3"/>
    <s v="ترابيزه رف سحاب"/>
    <n v="1"/>
    <n v="8349"/>
    <n v="8433"/>
    <d v="2024-09-26T00:00:00"/>
    <d v="2024-11-10T00:00:00"/>
    <s v="غير محدد"/>
    <s v="لغى"/>
    <x v="2"/>
    <x v="2"/>
    <x v="1"/>
  </r>
  <r>
    <n v="240078066"/>
    <s v="غير محدد"/>
    <s v="شيك هومز"/>
    <s v="التجمع "/>
    <x v="4"/>
    <x v="1"/>
    <x v="2"/>
    <s v="4*1"/>
    <s v="غير محدد"/>
    <s v="غير محدد"/>
    <s v="غير محدد"/>
    <x v="6"/>
    <s v="كنبة "/>
    <n v="1"/>
    <n v="14950"/>
    <s v="مسبق الدفع"/>
    <d v="2024-09-26T00:00:00"/>
    <d v="2024-10-14T00:00:00"/>
    <d v="2024-10-13T00:00:00"/>
    <s v="محمود على "/>
    <x v="0"/>
    <x v="0"/>
    <x v="0"/>
  </r>
  <r>
    <n v="240077789"/>
    <s v="غير محدد"/>
    <s v="شيك هومز"/>
    <s v="غير محدد"/>
    <x v="3"/>
    <x v="1"/>
    <x v="0"/>
    <s v="دورين"/>
    <s v="كينج"/>
    <n v="100"/>
    <s v="اسود"/>
    <x v="3"/>
    <s v="سرير دورين"/>
    <n v="1"/>
    <n v="9208"/>
    <n v="9608"/>
    <d v="2024-09-26T00:00:00"/>
    <d v="2024-10-14T00:00:00"/>
    <s v="غير محدد"/>
    <s v="لغى"/>
    <x v="2"/>
    <x v="2"/>
    <x v="1"/>
  </r>
  <r>
    <n v="240078390"/>
    <s v="غير محدد"/>
    <s v="شيك هومز"/>
    <s v="غير محدد"/>
    <x v="3"/>
    <x v="1"/>
    <x v="0"/>
    <s v="فردى"/>
    <s v="اسبانى"/>
    <n v="120"/>
    <s v="ابيض"/>
    <x v="3"/>
    <s v="سرير فردي"/>
    <n v="1"/>
    <n v="7433"/>
    <s v="مسبق الدفع"/>
    <d v="2024-09-29T00:00:00"/>
    <d v="2024-10-20T00:00:00"/>
    <d v="2024-10-21T00:00:00"/>
    <s v="محمود على "/>
    <x v="0"/>
    <x v="2"/>
    <x v="0"/>
  </r>
  <r>
    <s v="غير محدد"/>
    <s v="غير محدد"/>
    <s v="اوسكار راتن"/>
    <s v="المخزن"/>
    <x v="7"/>
    <x v="4"/>
    <x v="0"/>
    <s v="فردى"/>
    <s v="فورجينا"/>
    <n v="120"/>
    <s v="ابيض"/>
    <x v="3"/>
    <s v="سرير فردي"/>
    <n v="1"/>
    <n v="4020"/>
    <s v="حساب شركه"/>
    <d v="2024-09-29T00:00:00"/>
    <d v="2024-10-12T00:00:00"/>
    <d v="2024-10-12T00:00:00"/>
    <s v="محمود على "/>
    <x v="0"/>
    <x v="1"/>
    <x v="0"/>
  </r>
  <r>
    <s v="غير محدد"/>
    <s v="غير محدد"/>
    <s v="الحج محمد السويس"/>
    <s v="السويس "/>
    <x v="8"/>
    <x v="5"/>
    <x v="0"/>
    <s v="دورين"/>
    <s v="فانتاستك"/>
    <n v="100"/>
    <s v="ملون"/>
    <x v="3"/>
    <s v="سرير دورين"/>
    <n v="1"/>
    <n v="8544.9054400000005"/>
    <s v="غير محدد"/>
    <d v="2024-10-01T00:00:00"/>
    <d v="2024-10-09T00:00:00"/>
    <d v="2024-10-09T00:00:00"/>
    <s v="الحج سيد "/>
    <x v="0"/>
    <x v="1"/>
    <x v="0"/>
  </r>
  <r>
    <s v="غير محدد"/>
    <s v="غير محدد"/>
    <s v="الحج محمد السويس"/>
    <s v="السويس "/>
    <x v="8"/>
    <x v="5"/>
    <x v="0"/>
    <s v="منطبق"/>
    <s v="غير محدد"/>
    <s v="غير محدد"/>
    <s v="اسود"/>
    <x v="5"/>
    <s v="سرير منطبق"/>
    <n v="1"/>
    <n v="4600"/>
    <s v="غير محدد"/>
    <d v="2024-10-01T00:00:00"/>
    <d v="2024-10-09T00:00:00"/>
    <d v="2024-10-09T00:00:00"/>
    <s v="الحج سيد "/>
    <x v="0"/>
    <x v="1"/>
    <x v="0"/>
  </r>
  <r>
    <s v="غير محدد"/>
    <s v="غير محدد"/>
    <s v="الحج محمد السويس"/>
    <s v="السويس "/>
    <x v="8"/>
    <x v="5"/>
    <x v="2"/>
    <s v="فنيسيا"/>
    <s v="غير محدد"/>
    <s v="غير محدد"/>
    <s v="اسود"/>
    <x v="7"/>
    <s v="كنبة فنيسيا"/>
    <n v="1"/>
    <n v="10000"/>
    <s v="غير محدد"/>
    <d v="2024-10-01T00:00:00"/>
    <d v="2024-10-09T00:00:00"/>
    <d v="2024-10-09T00:00:00"/>
    <s v="الحج سيد "/>
    <x v="0"/>
    <x v="1"/>
    <x v="0"/>
  </r>
  <r>
    <s v="غير محدد"/>
    <s v="غير محدد"/>
    <s v="الحج محمد السويس"/>
    <s v="السويس "/>
    <x v="8"/>
    <x v="5"/>
    <x v="5"/>
    <s v="شيزلونج"/>
    <s v="غير محدد"/>
    <s v="غير محدد"/>
    <s v="اسود"/>
    <x v="6"/>
    <s v="شيزلونج"/>
    <n v="1"/>
    <s v="غير محدد"/>
    <s v="غير محدد"/>
    <d v="2024-10-01T00:00:00"/>
    <d v="2024-10-09T00:00:00"/>
    <d v="2024-10-09T00:00:00"/>
    <s v="الحج سيد "/>
    <x v="0"/>
    <x v="1"/>
    <x v="0"/>
  </r>
  <r>
    <n v="1282228"/>
    <n v="1708226"/>
    <s v="عمرو الأسود"/>
    <s v="الزمالك"/>
    <x v="4"/>
    <x v="0"/>
    <x v="0"/>
    <s v="منطبق"/>
    <s v="غير محدد"/>
    <s v="غير محدد"/>
    <s v="اسود"/>
    <x v="1"/>
    <s v="سرير منطبق"/>
    <n v="1"/>
    <n v="8899"/>
    <n v="8988"/>
    <d v="2024-10-03T00:00:00"/>
    <d v="2024-11-17T00:00:00"/>
    <s v="غير محدد"/>
    <s v="غير محدد"/>
    <x v="4"/>
    <x v="2"/>
    <x v="1"/>
  </r>
  <r>
    <n v="240079328"/>
    <s v="غير محدد"/>
    <s v="شيك هومز"/>
    <s v="مخزن ابو الغيطابو الغيطابو الغيطابو الغيطابو الغيطابو الغيطابو الغيط"/>
    <x v="9"/>
    <x v="1"/>
    <x v="2"/>
    <s v="4*1"/>
    <s v="غير محدد"/>
    <s v="غير محدد"/>
    <s v="اسود"/>
    <x v="8"/>
    <s v="كنبة "/>
    <n v="1"/>
    <n v="14550"/>
    <s v="مسبق الدفع"/>
    <d v="2024-10-08T00:00:00"/>
    <d v="2024-10-29T00:00:00"/>
    <d v="2024-10-30T00:00:00"/>
    <s v="محمود على "/>
    <x v="0"/>
    <x v="2"/>
    <x v="0"/>
  </r>
  <r>
    <n v="240078933"/>
    <s v="غير محدد"/>
    <s v="شيك هومز"/>
    <s v="اكتوبر "/>
    <x v="0"/>
    <x v="1"/>
    <x v="2"/>
    <s v="4*1"/>
    <s v="غير محدد"/>
    <s v="غير محدد"/>
    <s v="اسود"/>
    <x v="8"/>
    <s v="كنبة "/>
    <n v="1"/>
    <n v="14550"/>
    <s v="مسبق الدفع"/>
    <d v="2024-10-07T00:00:00"/>
    <d v="2024-10-29T00:00:00"/>
    <d v="2024-10-15T00:00:00"/>
    <s v="محمود على "/>
    <x v="0"/>
    <x v="0"/>
    <x v="0"/>
  </r>
  <r>
    <n v="240079517"/>
    <s v="غير محدد"/>
    <s v="شيك هومز"/>
    <s v="غير محدد"/>
    <x v="3"/>
    <x v="1"/>
    <x v="2"/>
    <s v="4*1"/>
    <s v="غير محدد"/>
    <s v="غير محدد"/>
    <s v="اسود"/>
    <x v="6"/>
    <s v="كنبة "/>
    <n v="1"/>
    <n v="14550"/>
    <n v="11495"/>
    <d v="2024-10-10T00:00:00"/>
    <d v="2024-10-31T00:00:00"/>
    <d v="2024-11-02T00:00:00"/>
    <s v="محمود على "/>
    <x v="0"/>
    <x v="2"/>
    <x v="0"/>
  </r>
  <r>
    <n v="1714623"/>
    <n v="1284697"/>
    <s v="كيرا"/>
    <s v="القاهره الجديده"/>
    <x v="4"/>
    <x v="0"/>
    <x v="0"/>
    <s v="دورين"/>
    <s v="نوفال"/>
    <s v="100/140"/>
    <s v="بينك"/>
    <x v="3"/>
    <s v="سرير دورين"/>
    <n v="1"/>
    <n v="12899"/>
    <n v="13028"/>
    <d v="2024-10-13T00:00:00"/>
    <d v="2024-12-17T00:00:00"/>
    <d v="2024-11-02T00:00:00"/>
    <s v="محمود على "/>
    <x v="0"/>
    <x v="0"/>
    <x v="0"/>
  </r>
  <r>
    <n v="1715473"/>
    <n v="1285152"/>
    <s v="طارق كمال "/>
    <s v="مصر الجديده"/>
    <x v="4"/>
    <x v="0"/>
    <x v="0"/>
    <s v="دورين"/>
    <s v="كيفنج"/>
    <n v="80"/>
    <s v="ابيض"/>
    <x v="3"/>
    <s v="سرير دورين"/>
    <n v="1"/>
    <n v="10499"/>
    <s v="مسبق الدفع"/>
    <d v="2024-10-16T00:00:00"/>
    <d v="2024-12-19T00:00:00"/>
    <d v="2024-10-21T00:00:00"/>
    <s v="محمود على "/>
    <x v="0"/>
    <x v="0"/>
    <x v="0"/>
  </r>
  <r>
    <n v="1715992"/>
    <n v="1285423"/>
    <s v="ريم"/>
    <s v="البطاش "/>
    <x v="1"/>
    <x v="0"/>
    <x v="0"/>
    <s v="دورين"/>
    <s v="نوفال"/>
    <s v="100/140"/>
    <s v="بينك"/>
    <x v="3"/>
    <s v="سرير دورين"/>
    <n v="1"/>
    <n v="12899"/>
    <s v="مسبق الدفع"/>
    <d v="2024-10-17T00:00:00"/>
    <d v="2024-12-22T00:00:00"/>
    <d v="2024-12-03T00:00:00"/>
    <s v="شركه شحن "/>
    <x v="0"/>
    <x v="0"/>
    <x v="0"/>
  </r>
  <r>
    <n v="3163"/>
    <s v="غير محدد"/>
    <s v="هشام سامى"/>
    <s v=" كومبوند جولدن جستس "/>
    <x v="10"/>
    <x v="6"/>
    <x v="0"/>
    <s v="فردى"/>
    <s v="بلحه"/>
    <n v="140"/>
    <s v="نبيتى "/>
    <x v="9"/>
    <s v="سرير فردي"/>
    <n v="1"/>
    <n v="5135"/>
    <s v="مسبق الدفع"/>
    <d v="2024-10-20T00:00:00"/>
    <d v="2024-11-17T00:00:00"/>
    <d v="2024-11-14T00:00:00"/>
    <s v="محمود على "/>
    <x v="0"/>
    <x v="0"/>
    <x v="0"/>
  </r>
  <r>
    <n v="240080607"/>
    <s v="غير محدد"/>
    <s v="شيك هومز"/>
    <s v="اكتوبر "/>
    <x v="0"/>
    <x v="1"/>
    <x v="0"/>
    <s v="دورين"/>
    <s v="فانتاستك"/>
    <n v="100"/>
    <s v="الوان"/>
    <x v="3"/>
    <s v="سرير دورين"/>
    <n v="1"/>
    <n v="12777.5"/>
    <n v="11277.5"/>
    <d v="2024-10-22T00:00:00"/>
    <d v="2024-11-12T00:00:00"/>
    <d v="2024-11-18T00:00:00"/>
    <s v="محمود على "/>
    <x v="0"/>
    <x v="2"/>
    <x v="0"/>
  </r>
  <r>
    <s v="غير محدد"/>
    <s v="غير محدد"/>
    <s v="اوسكار راتن"/>
    <s v="مدينه نصر"/>
    <x v="4"/>
    <x v="4"/>
    <x v="0"/>
    <s v="دورين"/>
    <s v="فانتاستك"/>
    <n v="100"/>
    <s v="الوان"/>
    <x v="3"/>
    <s v="سرير دورين"/>
    <n v="1"/>
    <n v="8544.91"/>
    <s v="حساب شركه"/>
    <d v="2024-10-22T00:00:00"/>
    <s v="غير محدد"/>
    <s v="غير محدد"/>
    <s v="العميل رفض الاستلام"/>
    <x v="5"/>
    <x v="1"/>
    <x v="1"/>
  </r>
  <r>
    <n v="1717458"/>
    <n v="1286189"/>
    <s v="فاطمه محمد"/>
    <s v="اكتوبر "/>
    <x v="0"/>
    <x v="0"/>
    <x v="0"/>
    <s v="فردى"/>
    <s v="فورجينا"/>
    <n v="120"/>
    <s v="ابيض"/>
    <x v="3"/>
    <s v="سرير فردي"/>
    <n v="1"/>
    <n v="8943"/>
    <n v="9007.01"/>
    <d v="2024-10-21T00:00:00"/>
    <d v="2024-11-14T00:00:00"/>
    <d v="2024-11-18T00:00:00"/>
    <s v="محمود على "/>
    <x v="0"/>
    <x v="2"/>
    <x v="0"/>
  </r>
  <r>
    <n v="240080858"/>
    <s v="غير محدد"/>
    <s v="شيك هومز"/>
    <s v="غير محدد"/>
    <x v="3"/>
    <x v="1"/>
    <x v="2"/>
    <s v="4*1"/>
    <s v="غير محدد"/>
    <s v="غير محدد"/>
    <s v="اسود"/>
    <x v="3"/>
    <s v="كنبة "/>
    <n v="1"/>
    <n v="15516"/>
    <s v="مسبق الدفع"/>
    <d v="2024-10-24T00:00:00"/>
    <d v="2024-11-14T00:00:00"/>
    <d v="2024-10-30T00:00:00"/>
    <s v="محمود على "/>
    <x v="0"/>
    <x v="0"/>
    <x v="0"/>
  </r>
  <r>
    <n v="240081061"/>
    <s v="غير محدد"/>
    <s v="شيك هومز"/>
    <s v="غير محدد"/>
    <x v="3"/>
    <x v="1"/>
    <x v="0"/>
    <s v="دورين"/>
    <s v="كينج"/>
    <n v="100"/>
    <s v="اسود"/>
    <x v="3"/>
    <s v="سرير دورين"/>
    <n v="1"/>
    <n v="10045"/>
    <n v="8879"/>
    <d v="2024-10-26T00:00:00"/>
    <d v="2024-11-16T00:00:00"/>
    <s v="غير محدد"/>
    <s v="لغى"/>
    <x v="2"/>
    <x v="2"/>
    <x v="1"/>
  </r>
  <r>
    <n v="1718948"/>
    <n v="1286883"/>
    <s v="ساره"/>
    <s v="اكتوبر "/>
    <x v="0"/>
    <x v="0"/>
    <x v="0"/>
    <s v="دورين"/>
    <s v="كينج"/>
    <n v="90"/>
    <s v="اسود"/>
    <x v="3"/>
    <s v="سرير دورين"/>
    <n v="1"/>
    <n v="11649"/>
    <n v="11749"/>
    <d v="2024-10-26T00:00:00"/>
    <d v="2024-11-10T00:00:00"/>
    <d v="2024-11-18T00:00:00"/>
    <s v="محمود على "/>
    <x v="0"/>
    <x v="2"/>
    <x v="0"/>
  </r>
  <r>
    <n v="1718949"/>
    <n v="1286883"/>
    <s v="ساره"/>
    <s v="اكتوبر "/>
    <x v="0"/>
    <x v="0"/>
    <x v="0"/>
    <s v="دورين"/>
    <s v="كينج"/>
    <n v="90"/>
    <s v="اسود"/>
    <x v="3"/>
    <s v="سرير دورين"/>
    <n v="1"/>
    <n v="11649"/>
    <n v="11749"/>
    <d v="2024-10-26T00:00:00"/>
    <d v="2024-11-10T00:00:00"/>
    <d v="2024-11-18T00:00:00"/>
    <s v="محمود على "/>
    <x v="0"/>
    <x v="2"/>
    <x v="0"/>
  </r>
  <r>
    <s v="غير محدد"/>
    <s v="غير محدد"/>
    <s v="بولا هومزمارت"/>
    <s v="المعادى"/>
    <x v="4"/>
    <x v="0"/>
    <x v="0"/>
    <s v="فردى"/>
    <s v="اسبانى"/>
    <n v="100"/>
    <s v="ابيض"/>
    <x v="3"/>
    <s v="سرير فردي"/>
    <n v="1"/>
    <n v="5100"/>
    <n v="4800"/>
    <d v="2024-10-28T00:00:00"/>
    <d v="2024-11-11T00:00:00"/>
    <d v="2024-11-21T00:00:00"/>
    <s v="محمود على "/>
    <x v="0"/>
    <x v="2"/>
    <x v="0"/>
  </r>
  <r>
    <s v="غير محدد"/>
    <s v="غير محدد"/>
    <s v="بولا هومزمارت"/>
    <s v="المعادى"/>
    <x v="4"/>
    <x v="0"/>
    <x v="0"/>
    <s v="فردى"/>
    <s v="اسبانى"/>
    <n v="120"/>
    <s v="ابيض"/>
    <x v="3"/>
    <s v="سرير فردي"/>
    <n v="1"/>
    <n v="5300"/>
    <n v="4800"/>
    <d v="2024-10-28T00:00:00"/>
    <d v="2024-11-11T00:00:00"/>
    <d v="2024-11-21T00:00:00"/>
    <s v="محمود على "/>
    <x v="0"/>
    <x v="2"/>
    <x v="0"/>
  </r>
  <r>
    <n v="1744766"/>
    <n v="1298738"/>
    <s v="محمد شكرى "/>
    <s v="مدينتى"/>
    <x v="4"/>
    <x v="0"/>
    <x v="0"/>
    <s v="دورين"/>
    <s v="كيفنج"/>
    <n v="80"/>
    <s v="ابيض"/>
    <x v="3"/>
    <s v="سرير دورين"/>
    <n v="1"/>
    <n v="12099"/>
    <s v="مسبق الدفع"/>
    <d v="2024-11-11T00:00:00"/>
    <d v="2024-11-26T00:00:00"/>
    <d v="2024-11-27T00:00:00"/>
    <s v="محمود على "/>
    <x v="0"/>
    <x v="2"/>
    <x v="0"/>
  </r>
  <r>
    <n v="240082226"/>
    <s v="غير محدد"/>
    <s v="شيك هومز"/>
    <s v="مخزن ابو الغيطابو الغيطابو الغيطابو الغيطابو الغيطابو الغيطابو الغيط"/>
    <x v="9"/>
    <x v="1"/>
    <x v="2"/>
    <s v="4*1"/>
    <s v="ارينا"/>
    <s v="غير محدد"/>
    <s v="اسود"/>
    <x v="8"/>
    <s v="كنبة "/>
    <n v="1"/>
    <n v="15872"/>
    <s v="مسبق الدفع"/>
    <d v="2024-11-08T00:00:00"/>
    <d v="2024-03-12T00:00:00"/>
    <d v="2024-11-14T00:00:00"/>
    <s v="محمود على "/>
    <x v="0"/>
    <x v="2"/>
    <x v="0"/>
  </r>
  <r>
    <n v="3290"/>
    <s v="غير محدد"/>
    <s v="منزلى"/>
    <s v="التجمع "/>
    <x v="4"/>
    <x v="6"/>
    <x v="0"/>
    <s v="فردى"/>
    <s v="فورجينا"/>
    <n v="120"/>
    <s v="ابيض"/>
    <x v="3"/>
    <s v="سرير فردي"/>
    <n v="1"/>
    <n v="4520"/>
    <s v="حساب شركه"/>
    <d v="2024-11-10T00:00:00"/>
    <d v="2024-11-22T00:00:00"/>
    <d v="2024-11-21T00:00:00"/>
    <s v="محمود على "/>
    <x v="0"/>
    <x v="0"/>
    <x v="0"/>
  </r>
  <r>
    <n v="6725"/>
    <s v="غير محدد"/>
    <s v="اوسكار راتن"/>
    <s v="المخزن"/>
    <x v="7"/>
    <x v="4"/>
    <x v="0"/>
    <s v="دورين"/>
    <s v="كينج"/>
    <n v="90"/>
    <s v="اسود"/>
    <x v="3"/>
    <s v="سرير دورين"/>
    <n v="1"/>
    <n v="5766"/>
    <s v="حساب شركه"/>
    <d v="2024-11-12T00:00:00"/>
    <d v="2024-11-26T00:00:00"/>
    <d v="2024-11-25T00:00:00"/>
    <s v="محمود على "/>
    <x v="0"/>
    <x v="0"/>
    <x v="0"/>
  </r>
  <r>
    <n v="1752544"/>
    <n v="1302011"/>
    <s v="حماده"/>
    <s v="المعادى"/>
    <x v="4"/>
    <x v="0"/>
    <x v="0"/>
    <s v="فردى"/>
    <s v="فورجينا"/>
    <n v="160"/>
    <s v="بنفسجى"/>
    <x v="3"/>
    <s v="سرير فردي"/>
    <n v="1"/>
    <n v="11395"/>
    <s v="مسبق الدفع"/>
    <d v="2024-11-12T00:00:00"/>
    <d v="2024-11-24T00:00:00"/>
    <d v="2024-11-27T00:00:00"/>
    <s v="محمود على "/>
    <x v="0"/>
    <x v="2"/>
    <x v="0"/>
  </r>
  <r>
    <n v="1755075"/>
    <n v="1303159"/>
    <s v="صفاء عبد الباقي"/>
    <s v="التجمع "/>
    <x v="4"/>
    <x v="0"/>
    <x v="0"/>
    <s v="دورين"/>
    <s v="كينج"/>
    <n v="80"/>
    <s v="ابيض"/>
    <x v="3"/>
    <s v="سرير دورين"/>
    <n v="1"/>
    <n v="12919"/>
    <s v="مسبق الدفع"/>
    <d v="2024-11-14T00:00:00"/>
    <d v="2024-11-30T00:00:00"/>
    <d v="2024-11-27T00:00:00"/>
    <s v="محمود على "/>
    <x v="0"/>
    <x v="0"/>
    <x v="0"/>
  </r>
  <r>
    <n v="6806"/>
    <s v="غير محدد"/>
    <s v="اوسكار راتن"/>
    <s v="المخزن"/>
    <x v="7"/>
    <x v="4"/>
    <x v="0"/>
    <s v="دورين"/>
    <s v="نوفال"/>
    <n v="120"/>
    <s v="رمادى"/>
    <x v="3"/>
    <s v="سرير دورين"/>
    <n v="1"/>
    <n v="6376"/>
    <s v="حساب شركه"/>
    <d v="2024-11-14T00:00:00"/>
    <d v="2024-11-27T00:00:00"/>
    <d v="2024-11-25T00:00:00"/>
    <s v="محمود على "/>
    <x v="0"/>
    <x v="0"/>
    <x v="0"/>
  </r>
  <r>
    <n v="6626"/>
    <s v="غير محدد"/>
    <s v="اوسكار راتن"/>
    <s v="المخزن"/>
    <x v="7"/>
    <x v="4"/>
    <x v="0"/>
    <s v="دورين"/>
    <s v="نوفال"/>
    <n v="90"/>
    <s v="اسود"/>
    <x v="3"/>
    <s v="سرير دورين"/>
    <n v="1"/>
    <n v="5294"/>
    <s v="حساب شركه"/>
    <d v="2024-11-14T00:00:00"/>
    <d v="2024-11-27T00:00:00"/>
    <d v="2024-11-25T00:00:00"/>
    <s v="محمود على "/>
    <x v="0"/>
    <x v="0"/>
    <x v="0"/>
  </r>
  <r>
    <n v="265453625"/>
    <s v="غير محدد"/>
    <s v="رندا العامرى "/>
    <s v="اكتوبر "/>
    <x v="0"/>
    <x v="7"/>
    <x v="0"/>
    <s v="دورين"/>
    <s v="كيفنج"/>
    <n v="80"/>
    <s v="ابيض"/>
    <x v="3"/>
    <s v="سرير دورين"/>
    <n v="1"/>
    <n v="7396"/>
    <s v="مسبق الدفع"/>
    <d v="2024-11-17T00:00:00"/>
    <d v="2024-11-28T00:00:00"/>
    <d v="2024-11-26T00:00:00"/>
    <s v="محمود على "/>
    <x v="0"/>
    <x v="0"/>
    <x v="0"/>
  </r>
  <r>
    <n v="1762617"/>
    <n v="1306879"/>
    <s v="ساره"/>
    <s v="اكتوبر "/>
    <x v="0"/>
    <x v="0"/>
    <x v="0"/>
    <s v="دورين"/>
    <s v="كينج"/>
    <n v="90"/>
    <s v="اسود"/>
    <x v="3"/>
    <s v="سرير دورين"/>
    <n v="1"/>
    <n v="13439"/>
    <n v="13575"/>
    <d v="2024-11-20T00:00:00"/>
    <d v="2024-12-05T00:00:00"/>
    <d v="2024-11-26T00:00:00"/>
    <s v="محمود على "/>
    <x v="0"/>
    <x v="0"/>
    <x v="0"/>
  </r>
  <r>
    <s v="غير محدد"/>
    <s v="غير محدد"/>
    <s v="تاكى"/>
    <s v="العباسيه"/>
    <x v="4"/>
    <x v="3"/>
    <x v="0"/>
    <s v="فردى"/>
    <s v="امريكى"/>
    <n v="160"/>
    <s v="اسود"/>
    <x v="3"/>
    <s v="سرير فردي"/>
    <n v="1"/>
    <n v="5100"/>
    <s v="حساب شركه"/>
    <d v="2024-11-14T00:00:00"/>
    <d v="2024-12-08T00:00:00"/>
    <s v="غير محدد"/>
    <s v="غير محدد"/>
    <x v="4"/>
    <x v="2"/>
    <x v="1"/>
  </r>
  <r>
    <s v="غير محدد"/>
    <s v="غير محدد"/>
    <s v="محمد حمدى"/>
    <s v="مصر الجديده"/>
    <x v="4"/>
    <x v="2"/>
    <x v="0"/>
    <s v="فردى"/>
    <s v="كوين "/>
    <n v="160"/>
    <s v="دهبي"/>
    <x v="0"/>
    <s v="سرير فردي"/>
    <n v="1"/>
    <n v="6000"/>
    <n v="5800"/>
    <d v="2024-11-22T00:00:00"/>
    <d v="2024-12-02T00:00:00"/>
    <d v="2024-11-27T00:00:00"/>
    <s v="محمود على "/>
    <x v="0"/>
    <x v="0"/>
    <x v="0"/>
  </r>
  <r>
    <n v="1765451"/>
    <n v="1308241"/>
    <s v="بافلى هانى "/>
    <s v="شبرا "/>
    <x v="4"/>
    <x v="0"/>
    <x v="0"/>
    <s v="فردى"/>
    <s v="اسبانى"/>
    <n v="120"/>
    <s v="رمادى"/>
    <x v="3"/>
    <s v="سرير فردي"/>
    <n v="1"/>
    <n v="10885"/>
    <n v="7965"/>
    <d v="2024-11-24T00:00:00"/>
    <d v="2024-12-05T00:00:00"/>
    <d v="2024-12-10T00:00:00"/>
    <s v="محمود على "/>
    <x v="0"/>
    <x v="2"/>
    <x v="0"/>
  </r>
  <r>
    <s v="غير محدد"/>
    <s v="غير محدد"/>
    <s v="تاكى"/>
    <s v="العباسيه"/>
    <x v="4"/>
    <x v="3"/>
    <x v="2"/>
    <s v="t1"/>
    <s v="t1"/>
    <s v="غير محدد"/>
    <s v="غير محدد"/>
    <x v="3"/>
    <s v="كنبة t1"/>
    <n v="1"/>
    <n v="6000"/>
    <n v="6000"/>
    <d v="2024-11-19T00:00:00"/>
    <d v="2024-12-05T00:00:00"/>
    <d v="2024-11-20T00:00:00"/>
    <s v="محمود على "/>
    <x v="0"/>
    <x v="0"/>
    <x v="0"/>
  </r>
  <r>
    <n v="1782674"/>
    <n v="1315860"/>
    <s v="رنا ميلاد"/>
    <s v="جليم "/>
    <x v="1"/>
    <x v="0"/>
    <x v="1"/>
    <s v="ترابيزه"/>
    <s v="مكتبه"/>
    <s v="غير محدد"/>
    <s v="غير محدد"/>
    <x v="3"/>
    <s v="ترابيزه"/>
    <n v="1"/>
    <n v="8449"/>
    <s v="مسبق الدفع"/>
    <d v="2024-11-27T00:00:00"/>
    <d v="2024-12-10T00:00:00"/>
    <d v="2024-12-23T00:00:00"/>
    <s v="شركه شحن "/>
    <x v="0"/>
    <x v="2"/>
    <x v="0"/>
  </r>
  <r>
    <n v="1781530"/>
    <n v="1315450"/>
    <s v="محمد ناجى"/>
    <s v="مدينه نصر"/>
    <x v="4"/>
    <x v="0"/>
    <x v="1"/>
    <s v="دوران"/>
    <s v="ميكانزم"/>
    <s v="غير محدد"/>
    <s v="ابيض"/>
    <x v="10"/>
    <s v="ترابيزه دوران"/>
    <n v="1"/>
    <n v="10249"/>
    <n v="6211"/>
    <d v="2024-11-27T00:00:00"/>
    <d v="2024-12-10T00:00:00"/>
    <d v="2024-12-19T00:00:00"/>
    <s v="محمود على "/>
    <x v="0"/>
    <x v="2"/>
    <x v="0"/>
  </r>
  <r>
    <n v="1795447"/>
    <n v="1321584"/>
    <s v="احمد عبد الستار"/>
    <s v="المندره "/>
    <x v="1"/>
    <x v="0"/>
    <x v="0"/>
    <s v="دورين"/>
    <s v="كيفنج"/>
    <n v="100"/>
    <s v="اسود"/>
    <x v="3"/>
    <s v="سرير دورين"/>
    <n v="1"/>
    <n v="14905"/>
    <s v="مسبق الدفع"/>
    <d v="2024-11-29T00:00:00"/>
    <d v="2024-12-15T00:00:00"/>
    <s v="فشل التسليم"/>
    <s v="العميل رفض الاستلام"/>
    <x v="5"/>
    <x v="2"/>
    <x v="1"/>
  </r>
  <r>
    <n v="1808440"/>
    <n v="1327172"/>
    <s v="نور"/>
    <s v="القاهره الجديده"/>
    <x v="4"/>
    <x v="0"/>
    <x v="1"/>
    <s v="دوران"/>
    <s v="ميكانزم"/>
    <s v="غير محدد"/>
    <s v="اسود"/>
    <x v="11"/>
    <s v="ترابيزه دوران"/>
    <n v="1"/>
    <n v="10249"/>
    <s v="مسبق الدفع"/>
    <d v="2024-11-30T00:00:00"/>
    <d v="2024-12-12T00:00:00"/>
    <s v="غير محدد"/>
    <s v="لغى"/>
    <x v="2"/>
    <x v="2"/>
    <x v="1"/>
  </r>
  <r>
    <n v="1808441"/>
    <n v="1327172"/>
    <s v="نور"/>
    <s v="القاهره الجديده"/>
    <x v="4"/>
    <x v="0"/>
    <x v="1"/>
    <s v="رف سحاب"/>
    <s v="غير محدد"/>
    <s v="غير محدد"/>
    <s v="اسود"/>
    <x v="11"/>
    <s v="ترابيزه رف سحاب"/>
    <n v="1"/>
    <n v="9029"/>
    <s v="مسبق الدفع"/>
    <d v="2024-11-30T00:00:00"/>
    <d v="2024-12-12T00:00:00"/>
    <s v="غير محدد"/>
    <s v="لغى"/>
    <x v="2"/>
    <x v="2"/>
    <x v="1"/>
  </r>
  <r>
    <n v="1805052"/>
    <n v="1325637"/>
    <s v="تامر"/>
    <s v="العين السخنه"/>
    <x v="5"/>
    <x v="0"/>
    <x v="1"/>
    <s v="2 ميكانزم"/>
    <s v="غير محدد"/>
    <s v="غير محدد"/>
    <s v="اسود"/>
    <x v="5"/>
    <s v="ترابيزه 2 ميكانزم"/>
    <n v="1"/>
    <n v="9029"/>
    <s v="مسبق الدفع"/>
    <d v="2024-11-30T00:00:00"/>
    <d v="2024-12-12T00:00:00"/>
    <s v="غير محدد"/>
    <s v="غير محدد"/>
    <x v="4"/>
    <x v="2"/>
    <x v="1"/>
  </r>
  <r>
    <n v="1813823"/>
    <n v="1329646"/>
    <s v="هناء اسامه"/>
    <s v="القطاميه"/>
    <x v="4"/>
    <x v="0"/>
    <x v="0"/>
    <s v="دورين"/>
    <s v="نوفال"/>
    <n v="80"/>
    <s v="ابيض"/>
    <x v="3"/>
    <s v="سرير دورين"/>
    <n v="1"/>
    <n v="12099"/>
    <s v="مسبق الدفع"/>
    <d v="2024-12-02T00:00:00"/>
    <d v="2024-12-17T00:00:00"/>
    <s v="غير محدد"/>
    <s v="لغى"/>
    <x v="2"/>
    <x v="2"/>
    <x v="1"/>
  </r>
  <r>
    <n v="7152"/>
    <s v="غير محدد"/>
    <s v="اوسكار راتن"/>
    <s v="المخزن"/>
    <x v="7"/>
    <x v="4"/>
    <x v="0"/>
    <s v="دورين"/>
    <s v="كيفنج"/>
    <n v="90"/>
    <s v="ازرق"/>
    <x v="3"/>
    <s v="سرير دورين"/>
    <n v="1"/>
    <n v="5217"/>
    <s v="حساب شركه"/>
    <d v="2024-12-01T00:00:00"/>
    <d v="2024-12-14T00:00:00"/>
    <d v="2024-12-10T00:00:00"/>
    <s v="محمود على "/>
    <x v="0"/>
    <x v="0"/>
    <x v="0"/>
  </r>
  <r>
    <n v="1810950"/>
    <n v="1328141"/>
    <s v="محمد عادل "/>
    <s v="العبور"/>
    <x v="4"/>
    <x v="0"/>
    <x v="0"/>
    <s v="منطبق"/>
    <s v="غير محدد"/>
    <s v="غير محدد"/>
    <s v="اسود"/>
    <x v="1"/>
    <s v="سرير منطبق"/>
    <n v="1"/>
    <n v="10249"/>
    <n v="6211"/>
    <d v="2024-12-04T00:00:00"/>
    <d v="2024-12-14T00:00:00"/>
    <d v="2024-12-19T00:00:00"/>
    <s v="محمود على "/>
    <x v="0"/>
    <x v="2"/>
    <x v="0"/>
  </r>
  <r>
    <n v="240085463"/>
    <s v="غير محدد"/>
    <s v="مريم عنان"/>
    <s v="التجمع "/>
    <x v="4"/>
    <x v="1"/>
    <x v="0"/>
    <s v="دورين"/>
    <s v="كينج"/>
    <s v="غير محدد"/>
    <s v="اسود"/>
    <x v="3"/>
    <s v="سرير دورين"/>
    <n v="1"/>
    <n v="10445"/>
    <n v="7707"/>
    <d v="2024-12-09T00:00:00"/>
    <d v="2024-12-31T00:00:00"/>
    <d v="2024-12-12T00:00:00"/>
    <s v="محمود على "/>
    <x v="0"/>
    <x v="0"/>
    <x v="0"/>
  </r>
  <r>
    <n v="1818591"/>
    <n v="1332300"/>
    <s v="هبه عطيه "/>
    <s v="القاهره الجديده"/>
    <x v="4"/>
    <x v="0"/>
    <x v="1"/>
    <s v="دوران"/>
    <s v="ميكانزم"/>
    <s v="غير محدد"/>
    <s v="اسود"/>
    <x v="11"/>
    <s v="ترابيزه دوران"/>
    <n v="1"/>
    <n v="11199"/>
    <n v="11257"/>
    <d v="2024-12-12T00:00:00"/>
    <d v="2024-12-24T00:00:00"/>
    <d v="2024-12-19T00:00:00"/>
    <s v="محمود على "/>
    <x v="0"/>
    <x v="0"/>
    <x v="0"/>
  </r>
  <r>
    <n v="1818396"/>
    <n v="1332179"/>
    <s v="حمدى ذكرى"/>
    <s v="اكتوبر "/>
    <x v="0"/>
    <x v="0"/>
    <x v="0"/>
    <s v="دورين"/>
    <s v="نوفال"/>
    <n v="80"/>
    <s v="اسود"/>
    <x v="3"/>
    <s v="سرير دورين"/>
    <n v="1"/>
    <n v="13099"/>
    <n v="13231"/>
    <d v="2024-12-12T00:00:00"/>
    <d v="2024-12-28T00:00:00"/>
    <d v="2024-12-29T00:00:00"/>
    <s v="محمود على "/>
    <x v="0"/>
    <x v="2"/>
    <x v="0"/>
  </r>
  <r>
    <n v="240085758"/>
    <s v="غير محدد"/>
    <s v="شيك هومز"/>
    <s v="مخزن ابو الغيطابو الغيطابو الغيطابو الغيطابو الغيطابو الغيطابو الغيط"/>
    <x v="9"/>
    <x v="1"/>
    <x v="2"/>
    <s v="4*1"/>
    <s v="ارينا"/>
    <s v="غير محدد"/>
    <s v="اسود"/>
    <x v="12"/>
    <s v="كنبة "/>
    <n v="1"/>
    <n v="8700"/>
    <s v="حساب شركه"/>
    <d v="2024-12-14T00:00:00"/>
    <d v="2025-01-05T00:00:00"/>
    <d v="2024-12-29T00:00:00"/>
    <s v="محمود على "/>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FDA172-A401-4129-9F36-D6BE17C28B95}"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حالة الطلب">
  <location ref="AE3:AF10" firstHeaderRow="1" firstDataRow="1" firstDataCol="1"/>
  <pivotFields count="23">
    <pivotField showAll="0"/>
    <pivotField showAll="0"/>
    <pivotField showAll="0"/>
    <pivotField showAll="0"/>
    <pivotField showAll="0">
      <items count="14">
        <item x="1"/>
        <item x="0"/>
        <item m="1" x="11"/>
        <item m="1" x="12"/>
        <item x="4"/>
        <item x="9"/>
        <item x="10"/>
        <item x="6"/>
        <item x="8"/>
        <item x="5"/>
        <item x="2"/>
        <item x="7"/>
        <item x="3"/>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axis="axisRow" dataField="1" showAll="0">
      <items count="7">
        <item x="0"/>
        <item x="4"/>
        <item x="1"/>
        <item x="2"/>
        <item x="3"/>
        <item x="5"/>
        <item t="default"/>
      </items>
    </pivotField>
    <pivotField showAll="0"/>
    <pivotField showAll="0"/>
  </pivotFields>
  <rowFields count="1">
    <field x="20"/>
  </rowFields>
  <rowItems count="7">
    <i>
      <x/>
    </i>
    <i>
      <x v="1"/>
    </i>
    <i>
      <x v="2"/>
    </i>
    <i>
      <x v="3"/>
    </i>
    <i>
      <x v="4"/>
    </i>
    <i>
      <x v="5"/>
    </i>
    <i t="grand">
      <x/>
    </i>
  </rowItems>
  <colItems count="1">
    <i/>
  </colItems>
  <dataFields count="1">
    <dataField name="النسبة" fld="20" subtotal="count" showDataAs="percentOfTotal" baseField="20" baseItem="0" numFmtId="9"/>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18F219-DEC6-4749-B8F6-4888448DB6CF}"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إجمالي المبيعات">
  <location ref="A3:B5" firstHeaderRow="1" firstDataRow="1" firstDataCol="1"/>
  <pivotFields count="23">
    <pivotField showAll="0"/>
    <pivotField showAll="0"/>
    <pivotField showAll="0"/>
    <pivotField showAll="0"/>
    <pivotField showAll="0">
      <items count="14">
        <item x="1"/>
        <item x="0"/>
        <item m="1" x="11"/>
        <item m="1" x="12"/>
        <item x="4"/>
        <item x="9"/>
        <item x="10"/>
        <item x="6"/>
        <item x="8"/>
        <item x="5"/>
        <item x="2"/>
        <item x="7"/>
        <item x="3"/>
        <item t="default"/>
      </items>
    </pivotField>
    <pivotField showAll="0"/>
    <pivotField showAll="0"/>
    <pivotField showAll="0"/>
    <pivotField showAll="0"/>
    <pivotField showAll="0"/>
    <pivotField showAll="0"/>
    <pivotField showAll="0"/>
    <pivotField showAll="0"/>
    <pivotField numFmtId="1" showAll="0"/>
    <pivotField dataField="1" showAll="0"/>
    <pivotField showAll="0"/>
    <pivotField showAll="0"/>
    <pivotField showAll="0"/>
    <pivotField showAll="0"/>
    <pivotField showAll="0"/>
    <pivotField showAll="0"/>
    <pivotField showAll="0"/>
    <pivotField axis="axisRow" showAll="0">
      <items count="3">
        <item h="1" x="1"/>
        <item x="0"/>
        <item t="default"/>
      </items>
    </pivotField>
  </pivotFields>
  <rowFields count="1">
    <field x="22"/>
  </rowFields>
  <rowItems count="2">
    <i>
      <x v="1"/>
    </i>
    <i t="grand">
      <x/>
    </i>
  </rowItems>
  <colItems count="1">
    <i/>
  </colItems>
  <dataFields count="1">
    <dataField name="مجموع سعر البيع" fld="14" baseField="22" baseItem="0"/>
  </dataFields>
  <formats count="2">
    <format dxfId="62">
      <pivotArea grandRow="1" outline="0" collapsedLevelsAreSubtotals="1" fieldPosition="0"/>
    </format>
    <format dxfId="61">
      <pivotArea collapsedLevelsAreSubtotals="1" fieldPosition="0">
        <references count="1">
          <reference field="2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FBE17E-DF40-4030-981E-BBFA9761D1A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حالة البيع">
  <location ref="AP9:AQ12"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s>
  <rowFields count="1">
    <field x="22"/>
  </rowFields>
  <rowItems count="3">
    <i>
      <x/>
    </i>
    <i>
      <x v="1"/>
    </i>
    <i t="grand">
      <x/>
    </i>
  </rowItems>
  <colItems count="1">
    <i/>
  </colItems>
  <dataFields count="1">
    <dataField name="المجموع" fld="22" subtotal="count" baseField="0" baseItem="0"/>
  </dataFields>
  <formats count="2">
    <format dxfId="64">
      <pivotArea field="22" type="button" dataOnly="0" labelOnly="1" outline="0" axis="axisRow" fieldPosition="0"/>
    </format>
    <format dxfId="63">
      <pivotArea field="2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4DD40E-F110-4471-ADB9-0CB448ACA985}"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3">
    <pivotField showAll="0"/>
    <pivotField showAll="0"/>
    <pivotField showAll="0"/>
    <pivotField showAll="0"/>
    <pivotField showAll="0">
      <items count="14">
        <item x="1"/>
        <item x="0"/>
        <item m="1" x="11"/>
        <item m="1" x="12"/>
        <item x="4"/>
        <item x="9"/>
        <item x="10"/>
        <item x="6"/>
        <item x="8"/>
        <item x="5"/>
        <item x="2"/>
        <item x="7"/>
        <item x="3"/>
        <item t="default"/>
      </items>
    </pivotField>
    <pivotField showAll="0"/>
    <pivotField showAll="0"/>
    <pivotField showAll="0"/>
    <pivotField showAll="0"/>
    <pivotField showAll="0"/>
    <pivotField showAll="0"/>
    <pivotField showAll="0"/>
    <pivotField showAll="0"/>
    <pivotField numFmtId="1"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متوسط سعر البيع" fld="14" subtotal="average" baseField="14" baseItem="0" numFmtId="166"/>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E9A15C-97FD-414F-88E6-B3BACFFCBDD5}"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اسم المنتج">
  <location ref="R3:S10" firstHeaderRow="1" firstDataRow="1" firstDataCol="1"/>
  <pivotFields count="23">
    <pivotField showAll="0"/>
    <pivotField showAll="0"/>
    <pivotField showAll="0"/>
    <pivotField showAll="0"/>
    <pivotField showAll="0">
      <items count="14">
        <item x="1"/>
        <item x="0"/>
        <item m="1" x="11"/>
        <item m="1" x="12"/>
        <item x="4"/>
        <item x="9"/>
        <item x="10"/>
        <item x="6"/>
        <item x="8"/>
        <item x="5"/>
        <item x="2"/>
        <item x="7"/>
        <item x="3"/>
        <item t="default"/>
      </items>
    </pivotField>
    <pivotField showAll="0"/>
    <pivotField axis="axisRow" showAll="0">
      <items count="7">
        <item x="1"/>
        <item x="3"/>
        <item x="0"/>
        <item x="5"/>
        <item x="4"/>
        <item x="2"/>
        <item t="default"/>
      </items>
    </pivotField>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مجموع المنتجات" fld="13" baseField="0" baseItem="0" numFmtId="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7639D2-5B02-4F1A-8C50-0BFD28DA63FD}"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اللون">
  <location ref="W3:X17" firstHeaderRow="1" firstDataRow="1" firstDataCol="1"/>
  <pivotFields count="23">
    <pivotField showAll="0"/>
    <pivotField showAll="0"/>
    <pivotField showAll="0"/>
    <pivotField showAll="0"/>
    <pivotField showAll="0">
      <items count="14">
        <item x="1"/>
        <item x="0"/>
        <item m="1" x="11"/>
        <item m="1" x="12"/>
        <item x="4"/>
        <item x="9"/>
        <item x="10"/>
        <item x="6"/>
        <item x="8"/>
        <item x="5"/>
        <item x="2"/>
        <item x="7"/>
        <item x="3"/>
        <item t="default"/>
      </items>
    </pivotField>
    <pivotField showAll="0"/>
    <pivotField showAll="0"/>
    <pivotField showAll="0"/>
    <pivotField showAll="0"/>
    <pivotField showAll="0"/>
    <pivotField showAll="0"/>
    <pivotField axis="axisRow" dataField="1" showAll="0" sortType="descending">
      <items count="14">
        <item x="6"/>
        <item x="3"/>
        <item x="12"/>
        <item x="4"/>
        <item x="7"/>
        <item x="9"/>
        <item x="5"/>
        <item x="11"/>
        <item x="8"/>
        <item x="1"/>
        <item x="2"/>
        <item x="10"/>
        <item x="0"/>
        <item t="default"/>
      </items>
    </pivotField>
    <pivotField showAll="0"/>
    <pivotField numFmtId="1" showAll="0"/>
    <pivotField showAll="0"/>
    <pivotField showAll="0"/>
    <pivotField showAll="0"/>
    <pivotField showAll="0"/>
    <pivotField showAll="0"/>
    <pivotField showAll="0"/>
    <pivotField showAll="0"/>
    <pivotField showAll="0"/>
    <pivotField showAll="0"/>
  </pivotFields>
  <rowFields count="1">
    <field x="11"/>
  </rowFields>
  <rowItems count="14">
    <i>
      <x/>
    </i>
    <i>
      <x v="1"/>
    </i>
    <i>
      <x v="2"/>
    </i>
    <i>
      <x v="3"/>
    </i>
    <i>
      <x v="4"/>
    </i>
    <i>
      <x v="5"/>
    </i>
    <i>
      <x v="6"/>
    </i>
    <i>
      <x v="7"/>
    </i>
    <i>
      <x v="8"/>
    </i>
    <i>
      <x v="9"/>
    </i>
    <i>
      <x v="10"/>
    </i>
    <i>
      <x v="11"/>
    </i>
    <i>
      <x v="12"/>
    </i>
    <i t="grand">
      <x/>
    </i>
  </rowItems>
  <colItems count="1">
    <i/>
  </colItems>
  <dataFields count="1">
    <dataField name="مجموع الألوان" fld="11" subtotal="count" baseField="0" baseItem="0"/>
  </dataFields>
  <formats count="2">
    <format dxfId="67">
      <pivotArea collapsedLevelsAreSubtotals="1" fieldPosition="0">
        <references count="1">
          <reference field="11" count="1">
            <x v="12"/>
          </reference>
        </references>
      </pivotArea>
    </format>
    <format dxfId="66">
      <pivotArea dataOnly="0" labelOnly="1" fieldPosition="0">
        <references count="1">
          <reference field="11" count="1">
            <x v="12"/>
          </reference>
        </references>
      </pivotArea>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447209-92C1-4913-8913-FFC4EFD164E9}" name="PivotTable1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حالة البيع">
  <location ref="AA3:AB7" firstHeaderRow="1" firstDataRow="1" firstDataCol="1"/>
  <pivotFields count="23">
    <pivotField showAll="0"/>
    <pivotField showAll="0"/>
    <pivotField showAll="0"/>
    <pivotField showAll="0"/>
    <pivotField showAll="0">
      <items count="14">
        <item x="1"/>
        <item x="0"/>
        <item m="1" x="11"/>
        <item m="1" x="12"/>
        <item x="4"/>
        <item x="9"/>
        <item x="10"/>
        <item x="6"/>
        <item x="8"/>
        <item x="5"/>
        <item x="2"/>
        <item x="7"/>
        <item x="3"/>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s>
  <rowFields count="1">
    <field x="21"/>
  </rowFields>
  <rowItems count="4">
    <i>
      <x/>
    </i>
    <i>
      <x v="1"/>
    </i>
    <i>
      <x v="2"/>
    </i>
    <i t="grand">
      <x/>
    </i>
  </rowItems>
  <colItems count="1">
    <i/>
  </colItems>
  <dataFields count="1">
    <dataField name="النسبة" fld="21" subtotal="count" showDataAs="percentOfTotal" baseField="21" baseItem="0" numFmtId="9"/>
  </dataFields>
  <formats count="1">
    <format dxfId="68">
      <pivotArea outline="0" collapsedLevelsAreSubtotals="1" fieldPosition="0"/>
    </format>
  </format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1" count="1" selected="0">
            <x v="0"/>
          </reference>
        </references>
      </pivotArea>
    </chartFormat>
    <chartFormat chart="11" format="7">
      <pivotArea type="data" outline="0" fieldPosition="0">
        <references count="2">
          <reference field="4294967294" count="1" selected="0">
            <x v="0"/>
          </reference>
          <reference field="21" count="1" selected="0">
            <x v="1"/>
          </reference>
        </references>
      </pivotArea>
    </chartFormat>
    <chartFormat chart="11" format="8">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121B98-20FD-4926-AAED-042B46517DF1}"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3:AM4" firstHeaderRow="1" firstDataRow="1" firstDataCol="0"/>
  <pivotFields count="23">
    <pivotField showAll="0"/>
    <pivotField showAll="0"/>
    <pivotField dataField="1" showAll="0"/>
    <pivotField showAll="0"/>
    <pivotField showAll="0">
      <items count="14">
        <item x="1"/>
        <item x="0"/>
        <item m="1" x="11"/>
        <item m="1" x="12"/>
        <item x="4"/>
        <item x="9"/>
        <item x="10"/>
        <item x="6"/>
        <item x="8"/>
        <item x="5"/>
        <item x="2"/>
        <item x="7"/>
        <item x="3"/>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عدد العملاء" fld="2" subtotal="count" baseField="0" baseItem="0"/>
  </dataFields>
  <formats count="2">
    <format dxfId="70">
      <pivotArea dataOnly="0" outline="0" axis="axisValues" fieldPosition="0"/>
    </format>
    <format dxfId="69">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85C197-0AE1-4436-8963-85A867F19409}"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المدينة">
  <location ref="AI3:AJ15" firstHeaderRow="1" firstDataRow="1" firstDataCol="1"/>
  <pivotFields count="23">
    <pivotField showAll="0"/>
    <pivotField showAll="0"/>
    <pivotField showAll="0"/>
    <pivotField showAll="0"/>
    <pivotField axis="axisRow" dataField="1" showAll="0" sortType="descending">
      <items count="14">
        <item x="1"/>
        <item x="0"/>
        <item m="1" x="12"/>
        <item x="4"/>
        <item x="9"/>
        <item x="10"/>
        <item x="6"/>
        <item x="8"/>
        <item x="5"/>
        <item x="2"/>
        <item x="7"/>
        <item x="3"/>
        <item m="1"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s>
  <rowFields count="1">
    <field x="4"/>
  </rowFields>
  <rowItems count="12">
    <i>
      <x v="3"/>
    </i>
    <i>
      <x v="1"/>
    </i>
    <i>
      <x v="11"/>
    </i>
    <i>
      <x/>
    </i>
    <i>
      <x v="10"/>
    </i>
    <i>
      <x v="8"/>
    </i>
    <i>
      <x v="7"/>
    </i>
    <i>
      <x v="9"/>
    </i>
    <i>
      <x v="4"/>
    </i>
    <i>
      <x v="5"/>
    </i>
    <i>
      <x v="6"/>
    </i>
    <i t="grand">
      <x/>
    </i>
  </rowItems>
  <colItems count="1">
    <i/>
  </colItems>
  <dataFields count="1">
    <dataField name="المجموع" fld="4" subtotal="count"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7A3712-F447-4317-BFEC-021B7E0EAB4B}"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المنصه">
  <location ref="M3:N12" firstHeaderRow="1" firstDataRow="1" firstDataCol="1"/>
  <pivotFields count="23">
    <pivotField showAll="0"/>
    <pivotField showAll="0"/>
    <pivotField showAll="0"/>
    <pivotField showAll="0"/>
    <pivotField showAll="0">
      <items count="14">
        <item x="1"/>
        <item x="0"/>
        <item m="1" x="11"/>
        <item m="1" x="12"/>
        <item x="4"/>
        <item x="9"/>
        <item x="10"/>
        <item x="6"/>
        <item x="8"/>
        <item x="5"/>
        <item x="2"/>
        <item x="7"/>
        <item x="3"/>
        <item t="default"/>
      </items>
    </pivotField>
    <pivotField axis="axisRow" showAll="0" sortType="descending">
      <items count="9">
        <item x="0"/>
        <item x="6"/>
        <item x="7"/>
        <item x="2"/>
        <item x="1"/>
        <item x="3"/>
        <item x="4"/>
        <item x="5"/>
        <item t="default"/>
      </items>
    </pivotField>
    <pivotField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مجموع المنتجات" fld="13" baseField="0" baseItem="0" numFmtId="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425F73-87C3-45C4-BB47-04B3AE6C5E77}"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3">
    <pivotField showAll="0"/>
    <pivotField showAll="0"/>
    <pivotField showAll="0"/>
    <pivotField showAll="0"/>
    <pivotField showAll="0">
      <items count="14">
        <item x="1"/>
        <item x="0"/>
        <item m="1" x="11"/>
        <item m="1" x="12"/>
        <item x="4"/>
        <item x="9"/>
        <item x="10"/>
        <item x="6"/>
        <item x="8"/>
        <item x="5"/>
        <item x="2"/>
        <item x="7"/>
        <item x="3"/>
        <item t="default"/>
      </items>
    </pivotField>
    <pivotField showAll="0"/>
    <pivotField showAll="0"/>
    <pivotField showAll="0"/>
    <pivotField showAll="0"/>
    <pivotField showAll="0"/>
    <pivotField showAll="0"/>
    <pivotField showAll="0"/>
    <pivotField dataField="1" showAll="0"/>
    <pivotField numFmtI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المنتج"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493A2C-E66B-4815-93BC-5833E747F823}"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حالة الطلب">
  <location ref="AP3:AQ6"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dataField="1" showAll="0"/>
    <pivotField showAll="0"/>
    <pivotField showAll="0"/>
    <pivotField showAll="0"/>
    <pivotField showAll="0"/>
    <pivotField showAll="0"/>
    <pivotField axis="axisRow" showAll="0">
      <items count="7">
        <item x="0"/>
        <item h="1" x="4"/>
        <item h="1" x="1"/>
        <item x="2"/>
        <item h="1" x="3"/>
        <item h="1" x="5"/>
        <item t="default"/>
      </items>
    </pivotField>
    <pivotField showAll="0"/>
    <pivotField showAll="0"/>
  </pivotFields>
  <rowFields count="1">
    <field x="20"/>
  </rowFields>
  <rowItems count="3">
    <i>
      <x/>
    </i>
    <i>
      <x v="3"/>
    </i>
    <i t="grand">
      <x/>
    </i>
  </rowItems>
  <colItems count="1">
    <i/>
  </colItems>
  <dataFields count="1">
    <dataField name="مجموع" fld="14" baseField="20" baseItem="0" numFmtId="166"/>
  </dataFields>
  <formats count="1">
    <format dxfId="71">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0" count="1" selected="0">
            <x v="0"/>
          </reference>
        </references>
      </pivotArea>
    </chartFormat>
    <chartFormat chart="7" format="6">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F58C47F-FB2F-4227-BEBF-BF1A4C58AB76}" autoFormatId="16" applyNumberFormats="0" applyBorderFormats="0" applyFontFormats="0" applyPatternFormats="0" applyAlignmentFormats="0" applyWidthHeightFormats="0">
  <queryTableRefresh nextId="24">
    <queryTableFields count="23">
      <queryTableField id="1" name="رقم العملية" tableColumnId="1"/>
      <queryTableField id="2" name="رقم الطلب" tableColumnId="2"/>
      <queryTableField id="3" name="أسم العميل" tableColumnId="3"/>
      <queryTableField id="4" name="العنوان" tableColumnId="4"/>
      <queryTableField id="5" name="المحافظة" tableColumnId="5"/>
      <queryTableField id="6" name="منصة البيع " tableColumnId="6"/>
      <queryTableField id="7" name="اسم المنتج" tableColumnId="7"/>
      <queryTableField id="8" name="نوع المنتج" tableColumnId="8"/>
      <queryTableField id="9" name="الاسم" tableColumnId="9"/>
      <queryTableField id="10" name="المقاس" tableColumnId="10"/>
      <queryTableField id="11" name="اللون المعدن" tableColumnId="11"/>
      <queryTableField id="12" name="لون القماش" tableColumnId="12"/>
      <queryTableField id="13" name="المنتج" tableColumnId="13"/>
      <queryTableField id="14" name="العدد" tableColumnId="14"/>
      <queryTableField id="15" name="سعر البيع " tableColumnId="15"/>
      <queryTableField id="16" name="طريقه الدفع " tableColumnId="16"/>
      <queryTableField id="17" name="ميعاد الطلب" tableColumnId="17"/>
      <queryTableField id="18" name="ميعاد التسليم" tableColumnId="18"/>
      <queryTableField id="19" name="تاريخ التسليم" tableColumnId="19"/>
      <queryTableField id="20" name="المسئول عن التسليم" tableColumnId="20"/>
      <queryTableField id="21" name="الحالة" tableColumnId="21"/>
      <queryTableField id="22" name="حالة الطلب" tableColumnId="22"/>
      <queryTableField id="23" name="حالة البيع"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B50EDF48-A06B-4392-A10A-77E2DED45FA4}" sourceName="المحافظة">
  <pivotTables>
    <pivotTable tabId="6" name="PivotTable15"/>
    <pivotTable tabId="6" name="PivotTable10"/>
    <pivotTable tabId="6" name="PivotTable11"/>
    <pivotTable tabId="6" name="PivotTable12"/>
    <pivotTable tabId="6" name="PivotTable13"/>
    <pivotTable tabId="6" name="PivotTable14"/>
    <pivotTable tabId="6" name="PivotTable16"/>
    <pivotTable tabId="6" name="PivotTable7"/>
    <pivotTable tabId="6" name="PivotTable8"/>
    <pivotTable tabId="6" name="PivotTable9"/>
  </pivotTables>
  <data>
    <tabular pivotCacheId="482817738">
      <items count="13">
        <i x="1" s="1"/>
        <i x="0" s="1"/>
        <i x="4" s="1"/>
        <i x="9" s="1"/>
        <i x="10" s="1"/>
        <i x="6" s="1"/>
        <i x="8" s="1"/>
        <i x="5" s="1"/>
        <i x="2" s="1"/>
        <i x="7" s="1"/>
        <i x="3" s="1"/>
        <i x="11"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لون_القماش" xr10:uid="{F32800ED-5C2B-4BCE-9217-855042377E17}" sourceName="لون القماش">
  <pivotTables>
    <pivotTable tabId="6" name="PivotTable12"/>
  </pivotTables>
  <data>
    <tabular pivotCacheId="482817738">
      <items count="13">
        <i x="0" s="1"/>
        <i x="10" s="1"/>
        <i x="2" s="1"/>
        <i x="1" s="1"/>
        <i x="8" s="1"/>
        <i x="11" s="1"/>
        <i x="5" s="1"/>
        <i x="9" s="1"/>
        <i x="7" s="1"/>
        <i x="4" s="1"/>
        <i x="12"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xr10:uid="{D929A91F-192B-4628-B0F1-B8460EDDA8D6}" cache="Slicer_المحافظة" caption="المحافظة" columnCount="2" style="Slicer Style 5" rowHeight="241300"/>
  <slicer name="لون القماش" xr10:uid="{B8884FB8-B3B6-4E01-9DEA-7797CB869550}" cache="Slicer_لون_القماش" caption="لون القماش" columnCount="2" style="Slicer Style 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2377E5-38C6-414A-B3CF-DBC174162221}" name="Cleaned" displayName="Cleaned" ref="A1:W121" tableType="queryTable" totalsRowShown="0">
  <autoFilter ref="A1:W121" xr:uid="{FF2377E5-38C6-414A-B3CF-DBC174162221}">
    <filterColumn colId="4">
      <filters>
        <filter val="العين السخنه"/>
      </filters>
    </filterColumn>
  </autoFilter>
  <tableColumns count="23">
    <tableColumn id="1" xr3:uid="{9C618A0B-0FCB-4119-9700-002662ABD3C1}" uniqueName="1" name="رقم العملية" queryTableFieldId="1" dataDxfId="59"/>
    <tableColumn id="2" xr3:uid="{9133F0C4-218E-4D59-969D-7E13185C957A}" uniqueName="2" name="رقم الطلب" queryTableFieldId="2" dataDxfId="58"/>
    <tableColumn id="3" xr3:uid="{43308988-D0FE-462B-9BDC-A316C436604F}" uniqueName="3" name="أسم العميل" queryTableFieldId="3" dataDxfId="57"/>
    <tableColumn id="4" xr3:uid="{60D200EA-DBA3-4881-9C54-DF449AC7C189}" uniqueName="4" name="العنوان" queryTableFieldId="4" dataDxfId="56"/>
    <tableColumn id="5" xr3:uid="{AC27C845-D8AF-4C0E-947E-7BF6452B9BD8}" uniqueName="5" name="المحافظة" queryTableFieldId="5" dataDxfId="55"/>
    <tableColumn id="6" xr3:uid="{D5094D8C-5168-4043-9395-9491F3173BDA}" uniqueName="6" name="منصة البيع " queryTableFieldId="6" dataDxfId="54"/>
    <tableColumn id="7" xr3:uid="{BDC2EA41-229B-4B45-8739-263E80D48949}" uniqueName="7" name="اسم المنتج" queryTableFieldId="7" dataDxfId="53"/>
    <tableColumn id="8" xr3:uid="{235EBC34-30C0-429A-99A0-400C1537F1D6}" uniqueName="8" name="نوع المنتج" queryTableFieldId="8" dataDxfId="52"/>
    <tableColumn id="9" xr3:uid="{3202D65B-D9D6-45DB-AA55-FB8A09D3AD0C}" uniqueName="9" name="الاسم" queryTableFieldId="9" dataDxfId="51"/>
    <tableColumn id="10" xr3:uid="{29EC915B-9144-4E39-976C-1324BAC621C4}" uniqueName="10" name="المقاس" queryTableFieldId="10" dataDxfId="50"/>
    <tableColumn id="11" xr3:uid="{ADE0A978-8DE3-415F-A820-EE895E0882E4}" uniqueName="11" name="اللون المعدن" queryTableFieldId="11" dataDxfId="49"/>
    <tableColumn id="12" xr3:uid="{0C2EA6BC-BB1C-44D1-98F6-96206FF37A10}" uniqueName="12" name="لون القماش" queryTableFieldId="12" dataDxfId="48"/>
    <tableColumn id="13" xr3:uid="{CC61372F-F2E5-49DE-BA6D-7D2A2E6F2288}" uniqueName="13" name="المنتج" queryTableFieldId="13" dataDxfId="47"/>
    <tableColumn id="14" xr3:uid="{097641E8-1ED6-41DC-8C15-C1EBBAB29C29}" uniqueName="14" name="العدد" queryTableFieldId="14" dataDxfId="46"/>
    <tableColumn id="15" xr3:uid="{F25FF2F7-3077-4999-946D-490C916DA039}" uniqueName="15" name="سعر البيع " queryTableFieldId="15" dataDxfId="45"/>
    <tableColumn id="16" xr3:uid="{F48B531E-02ED-41C2-865E-CB34D39C5822}" uniqueName="16" name="طريقه الدفع " queryTableFieldId="16" dataDxfId="44"/>
    <tableColumn id="17" xr3:uid="{899D9BFC-A378-423C-A648-286EBBC23B76}" uniqueName="17" name="ميعاد الطلب" queryTableFieldId="17" dataDxfId="43"/>
    <tableColumn id="18" xr3:uid="{A7925FE5-F6E0-454B-96D3-5AA8FCE34B0A}" uniqueName="18" name="ميعاد التسليم" queryTableFieldId="18" dataDxfId="42"/>
    <tableColumn id="19" xr3:uid="{B241FF19-0C0C-4DA5-A4AA-0605430FF8A9}" uniqueName="19" name="تاريخ التسليم" queryTableFieldId="19" dataDxfId="41"/>
    <tableColumn id="20" xr3:uid="{B270AB0B-BC09-4716-8ADE-202A8D01D02D}" uniqueName="20" name="المسئول عن التسليم" queryTableFieldId="20" dataDxfId="40"/>
    <tableColumn id="21" xr3:uid="{469EC715-A0E3-43D9-A875-2A12038B0C2D}" uniqueName="21" name="الحالة" queryTableFieldId="21" dataDxfId="39"/>
    <tableColumn id="22" xr3:uid="{4933AB56-4741-4043-9074-B2585E99A78C}" uniqueName="22" name="حالة الطلب" queryTableFieldId="22" dataDxfId="38"/>
    <tableColumn id="23" xr3:uid="{CCB38A66-BD83-4346-BC01-BD90556E3A4D}" uniqueName="23" name="حالة البيع" queryTableFieldId="23" dataDxf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EC2E0A-B796-45DF-B385-CAE2C6ACE518}" name="Table1" displayName="Table1" ref="A1:U127" totalsRowShown="0" headerRowDxfId="36" dataDxfId="34" headerRowBorderDxfId="35" tableBorderDxfId="33">
  <autoFilter ref="A1:U127" xr:uid="{2FEC2E0A-B796-45DF-B385-CAE2C6ACE518}"/>
  <tableColumns count="21">
    <tableColumn id="1" xr3:uid="{F21E5665-81F2-4E89-997E-B839DC94DC1C}" name="رقم العملية" dataDxfId="32"/>
    <tableColumn id="2" xr3:uid="{078C1A0D-3C12-42B5-BE82-F5E6DF0C894C}" name="رقم الطلب" dataDxfId="31"/>
    <tableColumn id="3" xr3:uid="{6C8A8143-B9C0-4A7F-967F-1DE26AD73460}" name="أسم العميل" dataDxfId="30"/>
    <tableColumn id="4" xr3:uid="{C43CF1F2-B8AD-423E-BE6D-5AA545326CB5}" name="العنوان" dataDxfId="29"/>
    <tableColumn id="20" xr3:uid="{2C393D0F-4E34-41C7-8560-2910EAA5BF70}" name="Column1" dataDxfId="28"/>
    <tableColumn id="5" xr3:uid="{D99196FC-A01C-4CC0-80FA-6FCD306EB58A}" name="منصة البيع " dataDxfId="27"/>
    <tableColumn id="6" xr3:uid="{09954979-07FD-4B38-8D5D-668EC6DDBD5A}" name="اسم المنتج" dataDxfId="26"/>
    <tableColumn id="7" xr3:uid="{3344DDEC-1142-47F8-98B5-C3EEFC2BD0F1}" name="نوع المنتج" dataDxfId="25"/>
    <tableColumn id="8" xr3:uid="{F03ABD8F-C3CE-47B2-B958-07930FF782DA}" name="الاسم" dataDxfId="24"/>
    <tableColumn id="9" xr3:uid="{3C2D99D8-51B9-43C9-8042-2882E7156B2A}" name="المقاس" dataDxfId="23"/>
    <tableColumn id="10" xr3:uid="{8D6E5250-CB7C-4AAA-92D2-1EFEEDB23CC3}" name="اللون المعدن" dataDxfId="22"/>
    <tableColumn id="11" xr3:uid="{6B9D3721-FF78-4783-B030-79FC35C2549F}" name="لون القماش" dataDxfId="21"/>
    <tableColumn id="12" xr3:uid="{01D7EE24-775C-47FE-BD69-B0EBC216B659}" name="المنتج" dataDxfId="20"/>
    <tableColumn id="22" xr3:uid="{05E8713F-F46D-465B-B0E0-416F0EB78DE3}" name="العدد" dataDxfId="19"/>
    <tableColumn id="13" xr3:uid="{3000A08B-746A-4B40-92A4-98516EF41179}" name="سعر البيع " dataDxfId="18"/>
    <tableColumn id="14" xr3:uid="{DD95D223-EB34-43CF-9AA1-17C72FFD21EB}" name="طريقه الدفع " dataDxfId="17"/>
    <tableColumn id="15" xr3:uid="{D66BC2C7-687E-4FD0-8A31-EB85595B2EA6}" name="ميعاد الطلب" dataDxfId="16"/>
    <tableColumn id="16" xr3:uid="{5791C353-BB6D-4A43-8077-6D7F91B09A29}" name="ميعاد التسليم" dataDxfId="15"/>
    <tableColumn id="17" xr3:uid="{6ADB48DA-60E3-497B-AE2A-E98D99C9C521}" name="تاريخ التسليم" dataDxfId="14"/>
    <tableColumn id="18" xr3:uid="{8807B88D-A301-4DBB-BADA-682FF46C005C}" name="المسئول عن التسليم" dataDxfId="13"/>
    <tableColumn id="19" xr3:uid="{96E1EE96-5FA0-48A5-8611-B7E535EA5FBD}" name="الحالة" dataDxfId="1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topLeftCell="A5" workbookViewId="0">
      <selection activeCell="A16" sqref="A16"/>
    </sheetView>
  </sheetViews>
  <sheetFormatPr defaultRowHeight="15" x14ac:dyDescent="0.25"/>
  <cols>
    <col min="2" max="2" width="41.85546875" customWidth="1"/>
  </cols>
  <sheetData>
    <row r="1" spans="1:2" x14ac:dyDescent="0.25">
      <c r="A1" s="6"/>
      <c r="B1" s="6"/>
    </row>
    <row r="2" spans="1:2" x14ac:dyDescent="0.25">
      <c r="A2" s="6"/>
      <c r="B2" s="6"/>
    </row>
    <row r="3" spans="1:2" s="4" customFormat="1" ht="25.5" x14ac:dyDescent="0.35">
      <c r="A3" s="4" t="s">
        <v>202</v>
      </c>
    </row>
    <row r="4" spans="1:2" s="5" customFormat="1" ht="18.75" x14ac:dyDescent="0.3">
      <c r="A4" s="8" t="s">
        <v>195</v>
      </c>
      <c r="B4" s="8"/>
    </row>
    <row r="5" spans="1:2" s="1" customFormat="1" x14ac:dyDescent="0.25">
      <c r="A5" s="9"/>
      <c r="B5" s="9"/>
    </row>
    <row r="6" spans="1:2" s="3" customFormat="1" ht="18.75" x14ac:dyDescent="0.3">
      <c r="A6" s="3" t="s">
        <v>201</v>
      </c>
    </row>
    <row r="7" spans="1:2" s="2" customFormat="1" ht="15.75" x14ac:dyDescent="0.25">
      <c r="A7" s="10" t="s">
        <v>196</v>
      </c>
      <c r="B7" s="7"/>
    </row>
    <row r="8" spans="1:2" s="2" customFormat="1" ht="15.75" x14ac:dyDescent="0.25">
      <c r="A8" s="7" t="s">
        <v>197</v>
      </c>
      <c r="B8" s="7"/>
    </row>
    <row r="9" spans="1:2" s="2" customFormat="1" ht="15.75" x14ac:dyDescent="0.25">
      <c r="A9" s="7" t="s">
        <v>198</v>
      </c>
      <c r="B9" s="7"/>
    </row>
    <row r="10" spans="1:2" s="2" customFormat="1" ht="15.75" x14ac:dyDescent="0.25">
      <c r="A10" s="7" t="s">
        <v>199</v>
      </c>
      <c r="B10" s="7"/>
    </row>
    <row r="11" spans="1:2" s="7" customFormat="1" ht="15.75" x14ac:dyDescent="0.25">
      <c r="A11" s="7" t="s">
        <v>203</v>
      </c>
    </row>
    <row r="12" spans="1:2" s="2" customFormat="1" ht="15.75" x14ac:dyDescent="0.25">
      <c r="A12" s="7" t="s">
        <v>204</v>
      </c>
      <c r="B12" s="7"/>
    </row>
    <row r="13" spans="1:2" s="2" customFormat="1" ht="15.75" x14ac:dyDescent="0.25">
      <c r="A13" s="7" t="s">
        <v>200</v>
      </c>
      <c r="B13" s="7"/>
    </row>
    <row r="14" spans="1:2" s="2" customFormat="1" ht="15.75" x14ac:dyDescent="0.25">
      <c r="A14" s="7" t="s">
        <v>207</v>
      </c>
      <c r="B14" s="7"/>
    </row>
    <row r="15" spans="1:2" s="2" customFormat="1" ht="15.75" x14ac:dyDescent="0.25">
      <c r="A15" s="7" t="s">
        <v>205</v>
      </c>
      <c r="B15" s="7"/>
    </row>
    <row r="16" spans="1:2" ht="15.75" x14ac:dyDescent="0.25">
      <c r="A16" s="7"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0E13-EC14-4B4E-81F9-ACE775785601}">
  <dimension ref="A1:AS17"/>
  <sheetViews>
    <sheetView topLeftCell="U1" workbookViewId="0">
      <selection activeCell="AP16" sqref="AP16"/>
    </sheetView>
  </sheetViews>
  <sheetFormatPr defaultRowHeight="15" x14ac:dyDescent="0.25"/>
  <cols>
    <col min="1" max="1" width="15" bestFit="1" customWidth="1"/>
    <col min="2" max="2" width="14.140625" bestFit="1" customWidth="1"/>
    <col min="3" max="4" width="4.5703125" style="67" customWidth="1"/>
    <col min="5" max="6" width="13.85546875" bestFit="1" customWidth="1"/>
    <col min="7" max="8" width="4.7109375" style="67" customWidth="1"/>
    <col min="9" max="9" width="14.42578125" bestFit="1" customWidth="1"/>
    <col min="10" max="10" width="11.42578125" customWidth="1"/>
    <col min="11" max="12" width="5" style="67" customWidth="1"/>
    <col min="13" max="13" width="11.28515625" bestFit="1" customWidth="1"/>
    <col min="14" max="14" width="13.85546875" bestFit="1" customWidth="1"/>
    <col min="15" max="15" width="11.5703125" customWidth="1"/>
    <col min="16" max="17" width="4.42578125" style="67" customWidth="1"/>
    <col min="18" max="18" width="11.42578125" bestFit="1" customWidth="1"/>
    <col min="19" max="19" width="13.85546875" bestFit="1" customWidth="1"/>
    <col min="20" max="20" width="6.85546875" customWidth="1"/>
    <col min="21" max="22" width="5.42578125" style="67" customWidth="1"/>
    <col min="23" max="23" width="13.5703125" bestFit="1" customWidth="1"/>
    <col min="24" max="24" width="11.28515625" bestFit="1" customWidth="1"/>
    <col min="25" max="26" width="6.28515625" style="67" customWidth="1"/>
    <col min="27" max="27" width="11.28515625" bestFit="1" customWidth="1"/>
    <col min="28" max="28" width="5.85546875" bestFit="1" customWidth="1"/>
    <col min="29" max="30" width="6.42578125" style="67" customWidth="1"/>
    <col min="31" max="31" width="12" bestFit="1" customWidth="1"/>
    <col min="32" max="32" width="5.85546875" bestFit="1" customWidth="1"/>
    <col min="33" max="34" width="6.5703125" style="67" customWidth="1"/>
    <col min="35" max="35" width="18.7109375" bestFit="1" customWidth="1"/>
    <col min="36" max="36" width="7.42578125" bestFit="1" customWidth="1"/>
    <col min="37" max="38" width="6" style="67" customWidth="1"/>
    <col min="39" max="39" width="9.5703125" bestFit="1" customWidth="1"/>
    <col min="40" max="41" width="4.7109375" style="58" customWidth="1"/>
    <col min="42" max="42" width="12" bestFit="1" customWidth="1"/>
    <col min="43" max="43" width="10.5703125" bestFit="1" customWidth="1"/>
    <col min="44" max="45" width="7.28515625" style="67" customWidth="1"/>
  </cols>
  <sheetData>
    <row r="1" spans="1:43" ht="15" customHeight="1" x14ac:dyDescent="0.25">
      <c r="A1" s="66" t="s">
        <v>294</v>
      </c>
      <c r="B1" s="66"/>
      <c r="E1" s="66" t="s">
        <v>296</v>
      </c>
      <c r="F1" s="66"/>
      <c r="I1" s="66" t="s">
        <v>298</v>
      </c>
      <c r="J1" s="66"/>
      <c r="M1" s="66" t="s">
        <v>299</v>
      </c>
      <c r="N1" s="66"/>
      <c r="O1" s="66"/>
      <c r="R1" s="66" t="s">
        <v>302</v>
      </c>
      <c r="S1" s="66"/>
      <c r="T1" s="66"/>
      <c r="W1" s="66" t="s">
        <v>303</v>
      </c>
      <c r="X1" s="66"/>
      <c r="AA1" s="66" t="s">
        <v>304</v>
      </c>
      <c r="AB1" s="66"/>
      <c r="AE1" s="66" t="s">
        <v>306</v>
      </c>
      <c r="AF1" s="66"/>
      <c r="AI1" s="66" t="s">
        <v>308</v>
      </c>
      <c r="AJ1" s="66"/>
      <c r="AM1" s="66" t="s">
        <v>309</v>
      </c>
      <c r="AP1" s="58"/>
      <c r="AQ1" s="58"/>
    </row>
    <row r="2" spans="1:43" ht="15" customHeight="1" x14ac:dyDescent="0.25">
      <c r="A2" s="66"/>
      <c r="B2" s="66"/>
      <c r="E2" s="66"/>
      <c r="F2" s="66"/>
      <c r="I2" s="66"/>
      <c r="J2" s="66"/>
      <c r="M2" s="66"/>
      <c r="N2" s="66"/>
      <c r="O2" s="66"/>
      <c r="R2" s="66"/>
      <c r="S2" s="66"/>
      <c r="T2" s="66"/>
      <c r="W2" s="66"/>
      <c r="X2" s="66"/>
      <c r="AA2" s="66"/>
      <c r="AB2" s="66"/>
      <c r="AE2" s="66"/>
      <c r="AF2" s="66"/>
      <c r="AI2" s="66"/>
      <c r="AJ2" s="66"/>
      <c r="AM2" s="66"/>
      <c r="AP2" s="58"/>
      <c r="AQ2" s="58"/>
    </row>
    <row r="3" spans="1:43" x14ac:dyDescent="0.25">
      <c r="A3" s="55" t="s">
        <v>294</v>
      </c>
      <c r="B3" t="s">
        <v>297</v>
      </c>
      <c r="E3" t="s">
        <v>315</v>
      </c>
      <c r="I3" t="s">
        <v>298</v>
      </c>
      <c r="M3" s="55" t="s">
        <v>300</v>
      </c>
      <c r="N3" t="s">
        <v>301</v>
      </c>
      <c r="R3" s="55" t="s">
        <v>208</v>
      </c>
      <c r="S3" t="s">
        <v>301</v>
      </c>
      <c r="W3" s="55" t="s">
        <v>310</v>
      </c>
      <c r="X3" t="s">
        <v>311</v>
      </c>
      <c r="AA3" s="55" t="s">
        <v>285</v>
      </c>
      <c r="AB3" t="s">
        <v>312</v>
      </c>
      <c r="AE3" s="55" t="s">
        <v>284</v>
      </c>
      <c r="AF3" t="s">
        <v>312</v>
      </c>
      <c r="AI3" s="55" t="s">
        <v>313</v>
      </c>
      <c r="AJ3" t="s">
        <v>314</v>
      </c>
      <c r="AM3" s="62" t="s">
        <v>309</v>
      </c>
      <c r="AP3" s="55" t="s">
        <v>284</v>
      </c>
      <c r="AQ3" t="s">
        <v>317</v>
      </c>
    </row>
    <row r="4" spans="1:43" x14ac:dyDescent="0.25">
      <c r="A4" s="56" t="s">
        <v>287</v>
      </c>
      <c r="B4" s="53">
        <v>980082.40544</v>
      </c>
      <c r="E4" s="68">
        <v>120</v>
      </c>
      <c r="I4" s="57">
        <v>10450.742146554621</v>
      </c>
      <c r="M4" s="56" t="s">
        <v>6</v>
      </c>
      <c r="N4" s="53">
        <v>110</v>
      </c>
      <c r="R4" s="56" t="s">
        <v>171</v>
      </c>
      <c r="S4" s="53">
        <v>18</v>
      </c>
      <c r="W4" s="56" t="s">
        <v>131</v>
      </c>
      <c r="X4" s="68">
        <v>3</v>
      </c>
      <c r="AA4" s="56" t="s">
        <v>286</v>
      </c>
      <c r="AB4" s="60">
        <v>0.33333333333333331</v>
      </c>
      <c r="AE4" s="56" t="s">
        <v>116</v>
      </c>
      <c r="AF4" s="60">
        <v>0.8</v>
      </c>
      <c r="AI4" s="56" t="s">
        <v>292</v>
      </c>
      <c r="AJ4" s="68">
        <v>62</v>
      </c>
      <c r="AM4" s="68">
        <v>120</v>
      </c>
      <c r="AP4" s="56" t="s">
        <v>116</v>
      </c>
      <c r="AQ4" s="57">
        <v>980082.40544</v>
      </c>
    </row>
    <row r="5" spans="1:43" x14ac:dyDescent="0.25">
      <c r="A5" s="56" t="s">
        <v>295</v>
      </c>
      <c r="B5" s="53">
        <v>980082.40544</v>
      </c>
      <c r="M5" s="56" t="s">
        <v>149</v>
      </c>
      <c r="N5" s="53">
        <v>2</v>
      </c>
      <c r="R5" s="56" t="s">
        <v>85</v>
      </c>
      <c r="S5" s="53">
        <v>1</v>
      </c>
      <c r="W5" s="56" t="s">
        <v>210</v>
      </c>
      <c r="X5" s="68">
        <v>73</v>
      </c>
      <c r="AA5" s="56" t="s">
        <v>290</v>
      </c>
      <c r="AB5" s="60">
        <v>0.6</v>
      </c>
      <c r="AE5" s="56" t="s">
        <v>210</v>
      </c>
      <c r="AF5" s="60">
        <v>3.3333333333333333E-2</v>
      </c>
      <c r="AI5" s="56" t="s">
        <v>222</v>
      </c>
      <c r="AJ5" s="68">
        <v>21</v>
      </c>
      <c r="AP5" s="56" t="s">
        <v>114</v>
      </c>
      <c r="AQ5" s="57">
        <v>169543</v>
      </c>
    </row>
    <row r="6" spans="1:43" x14ac:dyDescent="0.25">
      <c r="E6" s="63">
        <f>E4</f>
        <v>120</v>
      </c>
      <c r="I6" s="57">
        <f>I4</f>
        <v>10450.742146554621</v>
      </c>
      <c r="M6" s="56" t="s">
        <v>159</v>
      </c>
      <c r="N6" s="53">
        <v>1</v>
      </c>
      <c r="R6" s="56" t="s">
        <v>78</v>
      </c>
      <c r="S6" s="53">
        <v>110</v>
      </c>
      <c r="W6" s="56" t="s">
        <v>193</v>
      </c>
      <c r="X6" s="68">
        <v>1</v>
      </c>
      <c r="AA6" s="56" t="s">
        <v>288</v>
      </c>
      <c r="AB6" s="60">
        <v>6.6666666666666666E-2</v>
      </c>
      <c r="AE6" s="56" t="s">
        <v>113</v>
      </c>
      <c r="AF6" s="60">
        <v>2.5000000000000001E-2</v>
      </c>
      <c r="AI6" s="56" t="s">
        <v>210</v>
      </c>
      <c r="AJ6" s="68">
        <v>8</v>
      </c>
      <c r="AP6" s="56" t="s">
        <v>295</v>
      </c>
      <c r="AQ6" s="57">
        <v>1149625.4054399999</v>
      </c>
    </row>
    <row r="7" spans="1:43" x14ac:dyDescent="0.25">
      <c r="A7" s="63">
        <f>B4</f>
        <v>980082.40544</v>
      </c>
      <c r="M7" s="56" t="s">
        <v>164</v>
      </c>
      <c r="N7" s="53">
        <v>5</v>
      </c>
      <c r="R7" s="56" t="s">
        <v>130</v>
      </c>
      <c r="S7" s="53">
        <v>1</v>
      </c>
      <c r="W7" s="56" t="s">
        <v>247</v>
      </c>
      <c r="X7" s="68">
        <v>6</v>
      </c>
      <c r="AA7" s="56" t="s">
        <v>295</v>
      </c>
      <c r="AB7" s="60">
        <v>1</v>
      </c>
      <c r="AE7" s="56" t="s">
        <v>114</v>
      </c>
      <c r="AF7" s="60">
        <v>0.11666666666666667</v>
      </c>
      <c r="AI7" s="56" t="s">
        <v>224</v>
      </c>
      <c r="AJ7" s="68">
        <v>7</v>
      </c>
      <c r="AM7">
        <f>AM4</f>
        <v>120</v>
      </c>
    </row>
    <row r="8" spans="1:43" x14ac:dyDescent="0.25">
      <c r="M8" s="56" t="s">
        <v>27</v>
      </c>
      <c r="N8" s="53">
        <v>15</v>
      </c>
      <c r="R8" s="56" t="s">
        <v>89</v>
      </c>
      <c r="S8" s="53">
        <v>2</v>
      </c>
      <c r="W8" s="56" t="s">
        <v>128</v>
      </c>
      <c r="X8" s="68">
        <v>1</v>
      </c>
      <c r="AA8" s="61" t="s">
        <v>305</v>
      </c>
      <c r="AB8" s="61">
        <f>SUM(GETPIVOTDATA("حالة الطلب",$AA$3,"حالة الطلب","Early"),GETPIVOTDATA("حالة الطلب",$AA$3,"حالة الطلب","On Time"))</f>
        <v>0.39999999999999997</v>
      </c>
      <c r="AE8" s="56" t="s">
        <v>121</v>
      </c>
      <c r="AF8" s="60">
        <v>8.3333333333333332E-3</v>
      </c>
      <c r="AI8" s="56" t="s">
        <v>155</v>
      </c>
      <c r="AJ8" s="68">
        <v>6</v>
      </c>
    </row>
    <row r="9" spans="1:43" x14ac:dyDescent="0.25">
      <c r="M9" s="56" t="s">
        <v>23</v>
      </c>
      <c r="N9" s="53">
        <v>10</v>
      </c>
      <c r="R9" s="56" t="s">
        <v>88</v>
      </c>
      <c r="S9" s="53">
        <v>28</v>
      </c>
      <c r="W9" s="56" t="s">
        <v>141</v>
      </c>
      <c r="X9" s="68">
        <v>1</v>
      </c>
      <c r="AE9" s="56" t="s">
        <v>157</v>
      </c>
      <c r="AF9" s="60">
        <v>1.6666666666666666E-2</v>
      </c>
      <c r="AI9" s="56" t="s">
        <v>76</v>
      </c>
      <c r="AJ9" s="68">
        <v>4</v>
      </c>
      <c r="AP9" s="64" t="s">
        <v>285</v>
      </c>
      <c r="AQ9" t="s">
        <v>314</v>
      </c>
    </row>
    <row r="10" spans="1:43" x14ac:dyDescent="0.25">
      <c r="M10" s="56" t="s">
        <v>29</v>
      </c>
      <c r="N10" s="53">
        <v>13</v>
      </c>
      <c r="R10" s="56" t="s">
        <v>295</v>
      </c>
      <c r="S10" s="53">
        <v>160</v>
      </c>
      <c r="W10" s="56" t="s">
        <v>129</v>
      </c>
      <c r="X10" s="68">
        <v>3</v>
      </c>
      <c r="AE10" s="56" t="s">
        <v>295</v>
      </c>
      <c r="AF10" s="60">
        <v>1</v>
      </c>
      <c r="AI10" s="56" t="s">
        <v>123</v>
      </c>
      <c r="AJ10" s="68">
        <v>4</v>
      </c>
      <c r="AP10" s="56" t="s">
        <v>289</v>
      </c>
      <c r="AQ10" s="68">
        <v>24</v>
      </c>
    </row>
    <row r="11" spans="1:43" x14ac:dyDescent="0.25">
      <c r="M11" s="56" t="s">
        <v>124</v>
      </c>
      <c r="N11" s="53">
        <v>4</v>
      </c>
      <c r="W11" s="56" t="s">
        <v>180</v>
      </c>
      <c r="X11" s="68">
        <v>3</v>
      </c>
      <c r="AE11" s="61" t="s">
        <v>307</v>
      </c>
      <c r="AF11" s="61">
        <f>SUM(AF7:AF9)</f>
        <v>0.14166666666666666</v>
      </c>
      <c r="AI11" s="56" t="s">
        <v>60</v>
      </c>
      <c r="AJ11" s="68">
        <v>3</v>
      </c>
      <c r="AP11" s="56" t="s">
        <v>287</v>
      </c>
      <c r="AQ11" s="68">
        <v>96</v>
      </c>
    </row>
    <row r="12" spans="1:43" x14ac:dyDescent="0.25">
      <c r="M12" s="56" t="s">
        <v>295</v>
      </c>
      <c r="N12" s="53">
        <v>160</v>
      </c>
      <c r="W12" s="56" t="s">
        <v>147</v>
      </c>
      <c r="X12" s="68">
        <v>3</v>
      </c>
      <c r="AI12" s="56" t="s">
        <v>241</v>
      </c>
      <c r="AJ12" s="68">
        <v>3</v>
      </c>
      <c r="AP12" s="56" t="s">
        <v>295</v>
      </c>
      <c r="AQ12" s="68">
        <v>120</v>
      </c>
    </row>
    <row r="13" spans="1:43" x14ac:dyDescent="0.25">
      <c r="W13" s="56" t="s">
        <v>94</v>
      </c>
      <c r="X13" s="68">
        <v>9</v>
      </c>
      <c r="AI13" s="56" t="s">
        <v>219</v>
      </c>
      <c r="AJ13" s="68">
        <v>1</v>
      </c>
    </row>
    <row r="14" spans="1:43" x14ac:dyDescent="0.25">
      <c r="W14" s="56" t="s">
        <v>96</v>
      </c>
      <c r="X14" s="68">
        <v>1</v>
      </c>
      <c r="AI14" s="56" t="s">
        <v>57</v>
      </c>
      <c r="AJ14" s="68">
        <v>1</v>
      </c>
    </row>
    <row r="15" spans="1:43" x14ac:dyDescent="0.25">
      <c r="W15" s="56" t="s">
        <v>176</v>
      </c>
      <c r="X15" s="68">
        <v>1</v>
      </c>
      <c r="AI15" s="56" t="s">
        <v>295</v>
      </c>
      <c r="AJ15" s="68">
        <v>120</v>
      </c>
      <c r="AP15">
        <f>GETPIVOTDATA("حالة البيع",$AP$9,"حالة البيع","Sold")</f>
        <v>96</v>
      </c>
    </row>
    <row r="16" spans="1:43" x14ac:dyDescent="0.25">
      <c r="W16" s="59" t="s">
        <v>93</v>
      </c>
      <c r="X16" s="69">
        <v>15</v>
      </c>
    </row>
    <row r="17" spans="23:24" x14ac:dyDescent="0.25">
      <c r="W17" s="56" t="s">
        <v>295</v>
      </c>
      <c r="X17" s="68">
        <v>120</v>
      </c>
    </row>
  </sheetData>
  <mergeCells count="20">
    <mergeCell ref="AE1:AF2"/>
    <mergeCell ref="AG1:AH1048576"/>
    <mergeCell ref="AI1:AJ2"/>
    <mergeCell ref="AK1:AL1048576"/>
    <mergeCell ref="AR1:AS1048576"/>
    <mergeCell ref="AM1:AM2"/>
    <mergeCell ref="A1:B2"/>
    <mergeCell ref="C1:D1048576"/>
    <mergeCell ref="E1:F2"/>
    <mergeCell ref="G1:H1048576"/>
    <mergeCell ref="AC1:AD1048576"/>
    <mergeCell ref="I1:J2"/>
    <mergeCell ref="K1:L1048576"/>
    <mergeCell ref="M1:O2"/>
    <mergeCell ref="P1:Q1048576"/>
    <mergeCell ref="R1:T2"/>
    <mergeCell ref="U1:V1048576"/>
    <mergeCell ref="W1:X2"/>
    <mergeCell ref="Y1:Z1048576"/>
    <mergeCell ref="AA1:A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AB08-EF27-490D-AD41-35A6995C103D}">
  <dimension ref="A1"/>
  <sheetViews>
    <sheetView tabSelected="1" zoomScaleNormal="100" workbookViewId="0">
      <selection activeCell="D1" sqref="C1:D2"/>
    </sheetView>
  </sheetViews>
  <sheetFormatPr defaultRowHeight="15" x14ac:dyDescent="0.25"/>
  <cols>
    <col min="1" max="16384" width="9.140625" style="6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DBEC-CD87-4FED-B026-A4753F4A1A62}">
  <dimension ref="A1:W127"/>
  <sheetViews>
    <sheetView workbookViewId="0"/>
  </sheetViews>
  <sheetFormatPr defaultRowHeight="15" x14ac:dyDescent="0.25"/>
  <cols>
    <col min="1" max="1" width="10" style="53" bestFit="1" customWidth="1"/>
    <col min="2" max="2" width="8.85546875" style="53" bestFit="1" customWidth="1"/>
    <col min="3" max="3" width="15.5703125" bestFit="1" customWidth="1"/>
    <col min="4" max="4" width="50.140625" bestFit="1" customWidth="1"/>
    <col min="5" max="5" width="18.7109375" bestFit="1" customWidth="1"/>
    <col min="6" max="6" width="9.7109375" bestFit="1" customWidth="1"/>
    <col min="7" max="7" width="9.140625" bestFit="1" customWidth="1"/>
    <col min="8" max="8" width="8.85546875" bestFit="1" customWidth="1"/>
    <col min="9" max="9" width="7.85546875" bestFit="1" customWidth="1"/>
    <col min="10" max="10" width="7.85546875" style="53" bestFit="1" customWidth="1"/>
    <col min="11" max="11" width="10.28515625" bestFit="1" customWidth="1"/>
    <col min="12" max="12" width="13.5703125" bestFit="1" customWidth="1"/>
    <col min="13" max="13" width="24.140625" bestFit="1" customWidth="1"/>
    <col min="14" max="14" width="5.140625" style="53" bestFit="1" customWidth="1"/>
    <col min="15" max="15" width="8.7109375" style="53" bestFit="1" customWidth="1"/>
    <col min="16" max="16" width="10.7109375" style="53" bestFit="1" customWidth="1"/>
    <col min="17" max="17" width="10.7109375" style="54" bestFit="1" customWidth="1"/>
    <col min="18" max="19" width="11" style="54" bestFit="1" customWidth="1"/>
    <col min="20" max="20" width="16.140625" bestFit="1" customWidth="1"/>
    <col min="21" max="21" width="10" bestFit="1" customWidth="1"/>
    <col min="22" max="22" width="9.7109375" bestFit="1" customWidth="1"/>
    <col min="23" max="23" width="9.28515625" bestFit="1" customWidth="1"/>
  </cols>
  <sheetData>
    <row r="1" spans="1:23" x14ac:dyDescent="0.25">
      <c r="A1" s="53" t="s">
        <v>107</v>
      </c>
      <c r="B1" s="53" t="s">
        <v>108</v>
      </c>
      <c r="C1" t="s">
        <v>0</v>
      </c>
      <c r="D1" t="s">
        <v>1</v>
      </c>
      <c r="E1" t="s">
        <v>276</v>
      </c>
      <c r="F1" t="s">
        <v>5</v>
      </c>
      <c r="G1" t="s">
        <v>208</v>
      </c>
      <c r="H1" t="s">
        <v>209</v>
      </c>
      <c r="I1" t="s">
        <v>100</v>
      </c>
      <c r="J1" s="53" t="s">
        <v>101</v>
      </c>
      <c r="K1" t="s">
        <v>105</v>
      </c>
      <c r="L1" t="s">
        <v>106</v>
      </c>
      <c r="M1" t="s">
        <v>2</v>
      </c>
      <c r="N1" s="53" t="s">
        <v>252</v>
      </c>
      <c r="O1" s="53" t="s">
        <v>7</v>
      </c>
      <c r="P1" s="53" t="s">
        <v>8</v>
      </c>
      <c r="Q1" s="54" t="s">
        <v>10</v>
      </c>
      <c r="R1" s="54" t="s">
        <v>9</v>
      </c>
      <c r="S1" s="54" t="s">
        <v>3</v>
      </c>
      <c r="T1" t="s">
        <v>4</v>
      </c>
      <c r="U1" t="s">
        <v>112</v>
      </c>
      <c r="V1" t="s">
        <v>284</v>
      </c>
      <c r="W1" t="s">
        <v>285</v>
      </c>
    </row>
    <row r="2" spans="1:23" x14ac:dyDescent="0.25">
      <c r="A2" s="53" t="s">
        <v>210</v>
      </c>
      <c r="B2" s="53" t="s">
        <v>210</v>
      </c>
      <c r="C2" t="s">
        <v>11</v>
      </c>
      <c r="D2" t="s">
        <v>221</v>
      </c>
      <c r="E2" t="s">
        <v>222</v>
      </c>
      <c r="F2" t="s">
        <v>6</v>
      </c>
      <c r="G2" t="s">
        <v>78</v>
      </c>
      <c r="H2" t="s">
        <v>79</v>
      </c>
      <c r="I2" t="s">
        <v>210</v>
      </c>
      <c r="J2" s="53" t="s">
        <v>210</v>
      </c>
      <c r="K2" t="s">
        <v>93</v>
      </c>
      <c r="L2" t="s">
        <v>93</v>
      </c>
      <c r="M2" t="s">
        <v>268</v>
      </c>
      <c r="N2" s="53">
        <v>1</v>
      </c>
      <c r="O2" s="53">
        <v>10160</v>
      </c>
      <c r="P2" s="53" t="s">
        <v>12</v>
      </c>
      <c r="Q2" s="54">
        <v>45500</v>
      </c>
      <c r="R2" s="54" t="s">
        <v>210</v>
      </c>
      <c r="S2" s="54">
        <v>45514</v>
      </c>
      <c r="T2" t="s">
        <v>272</v>
      </c>
      <c r="U2" t="s">
        <v>116</v>
      </c>
      <c r="V2" t="s">
        <v>286</v>
      </c>
      <c r="W2" t="s">
        <v>287</v>
      </c>
    </row>
    <row r="3" spans="1:23" x14ac:dyDescent="0.25">
      <c r="A3" s="53" t="s">
        <v>210</v>
      </c>
      <c r="B3" s="53" t="s">
        <v>210</v>
      </c>
      <c r="C3" t="s">
        <v>13</v>
      </c>
      <c r="D3" t="s">
        <v>223</v>
      </c>
      <c r="E3" t="s">
        <v>224</v>
      </c>
      <c r="F3" t="s">
        <v>6</v>
      </c>
      <c r="G3" t="s">
        <v>78</v>
      </c>
      <c r="H3" t="s">
        <v>79</v>
      </c>
      <c r="I3" t="s">
        <v>210</v>
      </c>
      <c r="J3" s="53" t="s">
        <v>210</v>
      </c>
      <c r="K3" t="s">
        <v>94</v>
      </c>
      <c r="L3" t="s">
        <v>94</v>
      </c>
      <c r="M3" t="s">
        <v>256</v>
      </c>
      <c r="N3" s="53">
        <v>1</v>
      </c>
      <c r="O3" s="53">
        <v>10160</v>
      </c>
      <c r="P3" s="53">
        <v>9749</v>
      </c>
      <c r="Q3" s="54">
        <v>45501</v>
      </c>
      <c r="R3" s="54" t="s">
        <v>210</v>
      </c>
      <c r="S3" s="54">
        <v>45515</v>
      </c>
      <c r="T3" t="s">
        <v>272</v>
      </c>
      <c r="U3" t="s">
        <v>116</v>
      </c>
      <c r="V3" t="s">
        <v>286</v>
      </c>
      <c r="W3" t="s">
        <v>287</v>
      </c>
    </row>
    <row r="4" spans="1:23" x14ac:dyDescent="0.25">
      <c r="A4" s="53" t="s">
        <v>210</v>
      </c>
      <c r="B4" s="53" t="s">
        <v>210</v>
      </c>
      <c r="C4" t="s">
        <v>14</v>
      </c>
      <c r="D4" t="s">
        <v>293</v>
      </c>
      <c r="E4" t="s">
        <v>224</v>
      </c>
      <c r="F4" t="s">
        <v>6</v>
      </c>
      <c r="G4" t="s">
        <v>78</v>
      </c>
      <c r="H4" t="s">
        <v>91</v>
      </c>
      <c r="I4" t="s">
        <v>83</v>
      </c>
      <c r="J4" s="53">
        <v>90</v>
      </c>
      <c r="K4" t="s">
        <v>96</v>
      </c>
      <c r="L4" t="s">
        <v>96</v>
      </c>
      <c r="M4" t="s">
        <v>249</v>
      </c>
      <c r="N4" s="53">
        <v>1</v>
      </c>
      <c r="O4" s="53">
        <v>11455</v>
      </c>
      <c r="P4" s="53">
        <v>10067.68</v>
      </c>
      <c r="Q4" s="54">
        <v>45500</v>
      </c>
      <c r="R4" s="54" t="s">
        <v>210</v>
      </c>
      <c r="S4" s="54" t="s">
        <v>210</v>
      </c>
      <c r="T4" t="s">
        <v>20</v>
      </c>
      <c r="U4" t="s">
        <v>113</v>
      </c>
      <c r="V4" t="s">
        <v>288</v>
      </c>
      <c r="W4" t="s">
        <v>289</v>
      </c>
    </row>
    <row r="5" spans="1:23" x14ac:dyDescent="0.25">
      <c r="A5" s="53" t="s">
        <v>210</v>
      </c>
      <c r="B5" s="53" t="s">
        <v>210</v>
      </c>
      <c r="C5" t="s">
        <v>15</v>
      </c>
      <c r="D5" t="s">
        <v>60</v>
      </c>
      <c r="E5" t="s">
        <v>60</v>
      </c>
      <c r="F5" t="s">
        <v>6</v>
      </c>
      <c r="G5" t="s">
        <v>171</v>
      </c>
      <c r="H5" t="s">
        <v>171</v>
      </c>
      <c r="I5" t="s">
        <v>210</v>
      </c>
      <c r="J5" s="53" t="s">
        <v>210</v>
      </c>
      <c r="K5" t="s">
        <v>210</v>
      </c>
      <c r="L5" t="s">
        <v>210</v>
      </c>
      <c r="M5" t="s">
        <v>261</v>
      </c>
      <c r="N5" s="53">
        <v>1</v>
      </c>
      <c r="O5" s="53">
        <v>8642</v>
      </c>
      <c r="P5" s="53" t="s">
        <v>12</v>
      </c>
      <c r="Q5" s="54">
        <v>45529</v>
      </c>
      <c r="R5" s="54">
        <v>45542</v>
      </c>
      <c r="S5" s="54">
        <v>45531</v>
      </c>
      <c r="T5" t="s">
        <v>272</v>
      </c>
      <c r="U5" t="s">
        <v>116</v>
      </c>
      <c r="V5" t="s">
        <v>286</v>
      </c>
      <c r="W5" t="s">
        <v>287</v>
      </c>
    </row>
    <row r="6" spans="1:23" x14ac:dyDescent="0.25">
      <c r="A6" s="53" t="s">
        <v>210</v>
      </c>
      <c r="B6" s="53" t="s">
        <v>210</v>
      </c>
      <c r="C6" t="s">
        <v>17</v>
      </c>
      <c r="D6" t="s">
        <v>293</v>
      </c>
      <c r="E6" t="s">
        <v>224</v>
      </c>
      <c r="F6" t="s">
        <v>6</v>
      </c>
      <c r="G6" t="s">
        <v>78</v>
      </c>
      <c r="H6" t="s">
        <v>91</v>
      </c>
      <c r="I6" t="s">
        <v>80</v>
      </c>
      <c r="J6" s="53">
        <v>100</v>
      </c>
      <c r="K6" t="s">
        <v>98</v>
      </c>
      <c r="L6" t="s">
        <v>210</v>
      </c>
      <c r="M6" t="s">
        <v>255</v>
      </c>
      <c r="N6" s="53">
        <v>1</v>
      </c>
      <c r="O6" s="53">
        <v>12833</v>
      </c>
      <c r="P6" s="53">
        <v>12974.22</v>
      </c>
      <c r="Q6" s="54">
        <v>45520</v>
      </c>
      <c r="R6" s="54">
        <v>45535</v>
      </c>
      <c r="S6" s="54" t="s">
        <v>210</v>
      </c>
      <c r="T6" t="s">
        <v>20</v>
      </c>
      <c r="U6" t="s">
        <v>113</v>
      </c>
      <c r="V6" t="s">
        <v>290</v>
      </c>
      <c r="W6" t="s">
        <v>289</v>
      </c>
    </row>
    <row r="7" spans="1:23" x14ac:dyDescent="0.25">
      <c r="A7" s="53" t="s">
        <v>210</v>
      </c>
      <c r="B7" s="53" t="s">
        <v>210</v>
      </c>
      <c r="C7" t="s">
        <v>27</v>
      </c>
      <c r="D7" t="s">
        <v>210</v>
      </c>
      <c r="E7" t="s">
        <v>210</v>
      </c>
      <c r="F7" t="s">
        <v>27</v>
      </c>
      <c r="G7" t="s">
        <v>88</v>
      </c>
      <c r="H7" t="s">
        <v>90</v>
      </c>
      <c r="I7" t="s">
        <v>210</v>
      </c>
      <c r="J7" s="53" t="s">
        <v>210</v>
      </c>
      <c r="K7" t="s">
        <v>98</v>
      </c>
      <c r="L7" t="s">
        <v>210</v>
      </c>
      <c r="M7" t="s">
        <v>254</v>
      </c>
      <c r="N7" s="53">
        <v>1</v>
      </c>
      <c r="O7" s="53">
        <v>14550</v>
      </c>
      <c r="P7" s="53" t="s">
        <v>12</v>
      </c>
      <c r="Q7" s="54">
        <v>45518</v>
      </c>
      <c r="R7" s="54">
        <v>45538</v>
      </c>
      <c r="S7" s="54">
        <v>45540</v>
      </c>
      <c r="T7" t="s">
        <v>272</v>
      </c>
      <c r="U7" t="s">
        <v>116</v>
      </c>
      <c r="V7" t="s">
        <v>290</v>
      </c>
      <c r="W7" t="s">
        <v>287</v>
      </c>
    </row>
    <row r="8" spans="1:23" x14ac:dyDescent="0.25">
      <c r="A8" s="53" t="s">
        <v>210</v>
      </c>
      <c r="B8" s="53" t="s">
        <v>210</v>
      </c>
      <c r="C8" t="s">
        <v>19</v>
      </c>
      <c r="D8" t="s">
        <v>227</v>
      </c>
      <c r="E8" t="s">
        <v>292</v>
      </c>
      <c r="F8" t="s">
        <v>164</v>
      </c>
      <c r="G8" t="s">
        <v>88</v>
      </c>
      <c r="H8" t="s">
        <v>90</v>
      </c>
      <c r="I8" t="s">
        <v>210</v>
      </c>
      <c r="J8" s="53" t="s">
        <v>210</v>
      </c>
      <c r="K8" t="s">
        <v>98</v>
      </c>
      <c r="L8" t="s">
        <v>210</v>
      </c>
      <c r="M8" t="s">
        <v>254</v>
      </c>
      <c r="N8" s="53">
        <v>1</v>
      </c>
      <c r="O8" s="53">
        <v>12000</v>
      </c>
      <c r="P8" s="53">
        <v>12000</v>
      </c>
      <c r="Q8" s="54">
        <v>45521</v>
      </c>
      <c r="R8" s="54">
        <v>45524</v>
      </c>
      <c r="S8" s="54">
        <v>45523</v>
      </c>
      <c r="T8" t="s">
        <v>272</v>
      </c>
      <c r="U8" t="s">
        <v>116</v>
      </c>
      <c r="V8" t="s">
        <v>286</v>
      </c>
      <c r="W8" t="s">
        <v>287</v>
      </c>
    </row>
    <row r="9" spans="1:23" x14ac:dyDescent="0.25">
      <c r="A9" s="53" t="s">
        <v>210</v>
      </c>
      <c r="B9" s="53" t="s">
        <v>210</v>
      </c>
      <c r="C9" t="s">
        <v>211</v>
      </c>
      <c r="D9" t="s">
        <v>229</v>
      </c>
      <c r="E9" t="s">
        <v>222</v>
      </c>
      <c r="F9" t="s">
        <v>6</v>
      </c>
      <c r="G9" t="s">
        <v>78</v>
      </c>
      <c r="H9" t="s">
        <v>81</v>
      </c>
      <c r="I9" t="s">
        <v>210</v>
      </c>
      <c r="J9" s="53" t="s">
        <v>210</v>
      </c>
      <c r="K9" t="s">
        <v>93</v>
      </c>
      <c r="L9" t="s">
        <v>210</v>
      </c>
      <c r="M9" t="s">
        <v>262</v>
      </c>
      <c r="N9" s="53">
        <v>1</v>
      </c>
      <c r="O9" s="53">
        <v>7228</v>
      </c>
      <c r="P9" s="53" t="s">
        <v>12</v>
      </c>
      <c r="Q9" s="54">
        <v>45529</v>
      </c>
      <c r="R9" s="54">
        <v>45538</v>
      </c>
      <c r="S9" s="54">
        <v>45545</v>
      </c>
      <c r="T9" t="s">
        <v>272</v>
      </c>
      <c r="U9" t="s">
        <v>116</v>
      </c>
      <c r="V9" t="s">
        <v>290</v>
      </c>
      <c r="W9" t="s">
        <v>287</v>
      </c>
    </row>
    <row r="10" spans="1:23" x14ac:dyDescent="0.25">
      <c r="A10" s="53" t="s">
        <v>210</v>
      </c>
      <c r="B10" s="53" t="s">
        <v>210</v>
      </c>
      <c r="C10" t="s">
        <v>23</v>
      </c>
      <c r="D10" t="s">
        <v>22</v>
      </c>
      <c r="E10" t="s">
        <v>292</v>
      </c>
      <c r="F10" t="s">
        <v>23</v>
      </c>
      <c r="G10" t="s">
        <v>85</v>
      </c>
      <c r="H10" t="s">
        <v>87</v>
      </c>
      <c r="I10" t="s">
        <v>210</v>
      </c>
      <c r="J10" s="53" t="s">
        <v>210</v>
      </c>
      <c r="K10" t="s">
        <v>210</v>
      </c>
      <c r="L10" t="s">
        <v>210</v>
      </c>
      <c r="M10" t="s">
        <v>246</v>
      </c>
      <c r="N10" s="53">
        <v>1</v>
      </c>
      <c r="O10" s="53">
        <v>22000</v>
      </c>
      <c r="P10" s="53">
        <v>22000</v>
      </c>
      <c r="Q10" s="54">
        <v>45523</v>
      </c>
      <c r="R10" s="54">
        <v>45536</v>
      </c>
      <c r="S10" s="54">
        <v>45552</v>
      </c>
      <c r="T10" t="s">
        <v>210</v>
      </c>
      <c r="U10" t="s">
        <v>116</v>
      </c>
      <c r="V10" t="s">
        <v>290</v>
      </c>
      <c r="W10" t="s">
        <v>287</v>
      </c>
    </row>
    <row r="11" spans="1:23" x14ac:dyDescent="0.25">
      <c r="A11" s="53" t="s">
        <v>210</v>
      </c>
      <c r="B11" s="53" t="s">
        <v>210</v>
      </c>
      <c r="C11" t="s">
        <v>23</v>
      </c>
      <c r="D11" t="s">
        <v>22</v>
      </c>
      <c r="E11" t="s">
        <v>292</v>
      </c>
      <c r="F11" t="s">
        <v>23</v>
      </c>
      <c r="G11" t="s">
        <v>88</v>
      </c>
      <c r="H11" t="s">
        <v>86</v>
      </c>
      <c r="I11" t="s">
        <v>210</v>
      </c>
      <c r="J11" s="53" t="s">
        <v>210</v>
      </c>
      <c r="K11" t="s">
        <v>210</v>
      </c>
      <c r="L11" t="s">
        <v>210</v>
      </c>
      <c r="M11" t="s">
        <v>264</v>
      </c>
      <c r="N11" s="53">
        <v>2</v>
      </c>
      <c r="O11" s="53">
        <v>16000</v>
      </c>
      <c r="P11" s="53">
        <v>16000</v>
      </c>
      <c r="Q11" s="54" t="s">
        <v>210</v>
      </c>
      <c r="R11" s="54" t="s">
        <v>210</v>
      </c>
      <c r="S11" s="54" t="s">
        <v>210</v>
      </c>
      <c r="T11" t="s">
        <v>114</v>
      </c>
      <c r="U11" t="s">
        <v>114</v>
      </c>
      <c r="V11" t="s">
        <v>288</v>
      </c>
      <c r="W11" t="s">
        <v>289</v>
      </c>
    </row>
    <row r="12" spans="1:23" x14ac:dyDescent="0.25">
      <c r="A12" s="53" t="s">
        <v>210</v>
      </c>
      <c r="B12" s="53" t="s">
        <v>210</v>
      </c>
      <c r="C12" t="s">
        <v>23</v>
      </c>
      <c r="D12" t="s">
        <v>22</v>
      </c>
      <c r="E12" t="s">
        <v>292</v>
      </c>
      <c r="F12" t="s">
        <v>23</v>
      </c>
      <c r="G12" t="s">
        <v>88</v>
      </c>
      <c r="H12" t="s">
        <v>86</v>
      </c>
      <c r="I12" t="s">
        <v>210</v>
      </c>
      <c r="J12" s="53" t="s">
        <v>210</v>
      </c>
      <c r="K12" t="s">
        <v>210</v>
      </c>
      <c r="L12" t="s">
        <v>210</v>
      </c>
      <c r="M12" t="s">
        <v>265</v>
      </c>
      <c r="N12" s="53">
        <v>2</v>
      </c>
      <c r="O12" s="53">
        <v>6000</v>
      </c>
      <c r="P12" s="53">
        <v>12000</v>
      </c>
      <c r="Q12" s="54">
        <v>45529</v>
      </c>
      <c r="R12" s="54">
        <v>45550</v>
      </c>
      <c r="S12" s="54">
        <v>45552</v>
      </c>
      <c r="T12" t="s">
        <v>274</v>
      </c>
      <c r="U12" t="s">
        <v>116</v>
      </c>
      <c r="V12" t="s">
        <v>290</v>
      </c>
      <c r="W12" t="s">
        <v>287</v>
      </c>
    </row>
    <row r="13" spans="1:23" x14ac:dyDescent="0.25">
      <c r="A13" s="53" t="s">
        <v>210</v>
      </c>
      <c r="B13" s="53" t="s">
        <v>210</v>
      </c>
      <c r="C13" t="s">
        <v>25</v>
      </c>
      <c r="D13" t="s">
        <v>26</v>
      </c>
      <c r="E13" t="s">
        <v>292</v>
      </c>
      <c r="F13" t="s">
        <v>6</v>
      </c>
      <c r="G13" t="s">
        <v>78</v>
      </c>
      <c r="H13" t="s">
        <v>91</v>
      </c>
      <c r="I13" t="s">
        <v>80</v>
      </c>
      <c r="J13" s="53">
        <v>80</v>
      </c>
      <c r="K13" t="s">
        <v>93</v>
      </c>
      <c r="L13" t="s">
        <v>210</v>
      </c>
      <c r="M13" t="s">
        <v>255</v>
      </c>
      <c r="N13" s="53">
        <v>1</v>
      </c>
      <c r="O13" s="53">
        <v>10499</v>
      </c>
      <c r="P13" s="53">
        <v>8924</v>
      </c>
      <c r="Q13" s="54">
        <v>45536</v>
      </c>
      <c r="R13" s="54">
        <v>45551</v>
      </c>
      <c r="S13" s="54">
        <v>45543</v>
      </c>
      <c r="T13" t="s">
        <v>272</v>
      </c>
      <c r="U13" t="s">
        <v>116</v>
      </c>
      <c r="V13" t="s">
        <v>286</v>
      </c>
      <c r="W13" t="s">
        <v>287</v>
      </c>
    </row>
    <row r="14" spans="1:23" x14ac:dyDescent="0.25">
      <c r="A14" s="53">
        <v>1404561</v>
      </c>
      <c r="B14" s="53">
        <v>1199284</v>
      </c>
      <c r="C14" t="s">
        <v>33</v>
      </c>
      <c r="D14" t="s">
        <v>229</v>
      </c>
      <c r="E14" t="s">
        <v>222</v>
      </c>
      <c r="F14" t="s">
        <v>6</v>
      </c>
      <c r="G14" t="s">
        <v>78</v>
      </c>
      <c r="H14" t="s">
        <v>81</v>
      </c>
      <c r="I14" t="s">
        <v>80</v>
      </c>
      <c r="J14" s="53">
        <v>80</v>
      </c>
      <c r="K14" t="s">
        <v>93</v>
      </c>
      <c r="L14" t="s">
        <v>93</v>
      </c>
      <c r="M14" t="s">
        <v>267</v>
      </c>
      <c r="N14" s="53">
        <v>1</v>
      </c>
      <c r="O14" s="53">
        <v>7295</v>
      </c>
      <c r="P14" s="53">
        <v>5895</v>
      </c>
      <c r="Q14" s="54">
        <v>45540</v>
      </c>
      <c r="R14" s="54">
        <v>45549</v>
      </c>
      <c r="S14" s="54" t="s">
        <v>210</v>
      </c>
      <c r="T14" t="s">
        <v>114</v>
      </c>
      <c r="U14" t="s">
        <v>114</v>
      </c>
      <c r="V14" t="s">
        <v>290</v>
      </c>
      <c r="W14" t="s">
        <v>289</v>
      </c>
    </row>
    <row r="15" spans="1:23" x14ac:dyDescent="0.25">
      <c r="A15" s="53">
        <v>1401137</v>
      </c>
      <c r="B15" s="53">
        <v>1197500</v>
      </c>
      <c r="C15" t="s">
        <v>31</v>
      </c>
      <c r="D15" t="s">
        <v>32</v>
      </c>
      <c r="E15" t="s">
        <v>292</v>
      </c>
      <c r="F15" t="s">
        <v>6</v>
      </c>
      <c r="G15" t="s">
        <v>171</v>
      </c>
      <c r="H15" t="s">
        <v>109</v>
      </c>
      <c r="I15" t="s">
        <v>210</v>
      </c>
      <c r="J15" s="53" t="s">
        <v>210</v>
      </c>
      <c r="K15" t="s">
        <v>210</v>
      </c>
      <c r="L15" t="s">
        <v>210</v>
      </c>
      <c r="M15" t="s">
        <v>260</v>
      </c>
      <c r="N15" s="53">
        <v>1</v>
      </c>
      <c r="O15" s="53">
        <v>7849</v>
      </c>
      <c r="P15" s="53" t="s">
        <v>12</v>
      </c>
      <c r="Q15" s="54">
        <v>45539</v>
      </c>
      <c r="R15" s="54">
        <v>45551</v>
      </c>
      <c r="S15" s="54">
        <v>45560</v>
      </c>
      <c r="T15" t="s">
        <v>272</v>
      </c>
      <c r="U15" t="s">
        <v>121</v>
      </c>
      <c r="V15" t="s">
        <v>290</v>
      </c>
      <c r="W15" t="s">
        <v>289</v>
      </c>
    </row>
    <row r="16" spans="1:23" x14ac:dyDescent="0.25">
      <c r="A16" s="53" t="s">
        <v>210</v>
      </c>
      <c r="B16" s="53" t="s">
        <v>210</v>
      </c>
      <c r="C16" t="s">
        <v>28</v>
      </c>
      <c r="D16" t="s">
        <v>227</v>
      </c>
      <c r="E16" t="s">
        <v>292</v>
      </c>
      <c r="F16" t="s">
        <v>29</v>
      </c>
      <c r="G16" t="s">
        <v>78</v>
      </c>
      <c r="H16" t="s">
        <v>91</v>
      </c>
      <c r="I16" t="s">
        <v>83</v>
      </c>
      <c r="J16" s="53">
        <v>120</v>
      </c>
      <c r="K16" t="s">
        <v>94</v>
      </c>
      <c r="L16" t="s">
        <v>94</v>
      </c>
      <c r="M16" t="s">
        <v>249</v>
      </c>
      <c r="N16" s="53">
        <v>2</v>
      </c>
      <c r="O16" s="53">
        <v>6180</v>
      </c>
      <c r="P16" s="53">
        <v>9700</v>
      </c>
      <c r="Q16" s="54">
        <v>45538</v>
      </c>
      <c r="R16" s="54">
        <v>45551</v>
      </c>
      <c r="S16" s="54">
        <v>45550</v>
      </c>
      <c r="T16" t="s">
        <v>274</v>
      </c>
      <c r="U16" t="s">
        <v>116</v>
      </c>
      <c r="V16" t="s">
        <v>286</v>
      </c>
      <c r="W16" t="s">
        <v>287</v>
      </c>
    </row>
    <row r="17" spans="1:23" x14ac:dyDescent="0.25">
      <c r="A17" s="53">
        <v>1400149</v>
      </c>
      <c r="B17" s="53">
        <v>1196947</v>
      </c>
      <c r="C17" t="s">
        <v>212</v>
      </c>
      <c r="D17" t="s">
        <v>220</v>
      </c>
      <c r="E17" t="s">
        <v>292</v>
      </c>
      <c r="F17" t="s">
        <v>6</v>
      </c>
      <c r="G17" t="s">
        <v>78</v>
      </c>
      <c r="H17" t="s">
        <v>91</v>
      </c>
      <c r="I17" t="s">
        <v>82</v>
      </c>
      <c r="J17" s="53">
        <v>80</v>
      </c>
      <c r="K17" t="s">
        <v>93</v>
      </c>
      <c r="L17" t="s">
        <v>210</v>
      </c>
      <c r="M17" t="s">
        <v>257</v>
      </c>
      <c r="N17" s="53">
        <v>1</v>
      </c>
      <c r="O17" s="53">
        <v>11199</v>
      </c>
      <c r="P17" s="53">
        <v>11310</v>
      </c>
      <c r="Q17" s="54">
        <v>45539</v>
      </c>
      <c r="R17" s="54">
        <v>45553</v>
      </c>
      <c r="S17" s="54" t="s">
        <v>210</v>
      </c>
      <c r="T17" t="s">
        <v>114</v>
      </c>
      <c r="U17" t="s">
        <v>114</v>
      </c>
      <c r="V17" t="s">
        <v>290</v>
      </c>
      <c r="W17" t="s">
        <v>289</v>
      </c>
    </row>
    <row r="18" spans="1:23" x14ac:dyDescent="0.25">
      <c r="A18" s="53">
        <v>1408099</v>
      </c>
      <c r="B18" s="53">
        <v>1201057</v>
      </c>
      <c r="C18" t="s">
        <v>19</v>
      </c>
      <c r="D18" t="s">
        <v>34</v>
      </c>
      <c r="E18" t="s">
        <v>292</v>
      </c>
      <c r="F18" t="s">
        <v>6</v>
      </c>
      <c r="G18" t="s">
        <v>78</v>
      </c>
      <c r="H18" t="s">
        <v>81</v>
      </c>
      <c r="I18" t="s">
        <v>103</v>
      </c>
      <c r="J18" s="53">
        <v>80</v>
      </c>
      <c r="K18" t="s">
        <v>93</v>
      </c>
      <c r="L18" t="s">
        <v>93</v>
      </c>
      <c r="M18" t="s">
        <v>267</v>
      </c>
      <c r="N18" s="53">
        <v>4</v>
      </c>
      <c r="O18" s="53">
        <v>7987</v>
      </c>
      <c r="P18" s="53" t="s">
        <v>12</v>
      </c>
      <c r="Q18" s="54">
        <v>45541</v>
      </c>
      <c r="R18" s="54">
        <v>45551</v>
      </c>
      <c r="S18" s="54">
        <v>45556</v>
      </c>
      <c r="T18" t="s">
        <v>274</v>
      </c>
      <c r="U18" t="s">
        <v>116</v>
      </c>
      <c r="V18" t="s">
        <v>290</v>
      </c>
      <c r="W18" t="s">
        <v>287</v>
      </c>
    </row>
    <row r="19" spans="1:23" x14ac:dyDescent="0.25">
      <c r="A19" s="53" t="s">
        <v>210</v>
      </c>
      <c r="B19" s="53" t="s">
        <v>210</v>
      </c>
      <c r="C19" t="s">
        <v>23</v>
      </c>
      <c r="D19" t="s">
        <v>22</v>
      </c>
      <c r="E19" t="s">
        <v>292</v>
      </c>
      <c r="F19" t="s">
        <v>23</v>
      </c>
      <c r="G19" t="s">
        <v>89</v>
      </c>
      <c r="H19" t="s">
        <v>127</v>
      </c>
      <c r="I19" t="s">
        <v>210</v>
      </c>
      <c r="J19" s="53" t="s">
        <v>210</v>
      </c>
      <c r="K19" t="s">
        <v>210</v>
      </c>
      <c r="L19" t="s">
        <v>210</v>
      </c>
      <c r="M19" t="s">
        <v>248</v>
      </c>
      <c r="N19" s="53">
        <v>2</v>
      </c>
      <c r="O19" s="53">
        <v>9300</v>
      </c>
      <c r="P19" s="53">
        <v>9300</v>
      </c>
      <c r="Q19" s="54">
        <v>45539</v>
      </c>
      <c r="R19" s="54">
        <v>45550</v>
      </c>
      <c r="S19" s="54">
        <v>45552</v>
      </c>
      <c r="T19" t="s">
        <v>274</v>
      </c>
      <c r="U19" t="s">
        <v>116</v>
      </c>
      <c r="V19" t="s">
        <v>290</v>
      </c>
      <c r="W19" t="s">
        <v>287</v>
      </c>
    </row>
    <row r="20" spans="1:23" x14ac:dyDescent="0.25">
      <c r="A20" s="53">
        <v>1408098</v>
      </c>
      <c r="B20" s="53">
        <v>1201057</v>
      </c>
      <c r="C20" t="s">
        <v>19</v>
      </c>
      <c r="D20" t="s">
        <v>34</v>
      </c>
      <c r="E20" t="s">
        <v>292</v>
      </c>
      <c r="F20" t="s">
        <v>6</v>
      </c>
      <c r="G20" t="s">
        <v>78</v>
      </c>
      <c r="H20" t="s">
        <v>81</v>
      </c>
      <c r="I20" t="s">
        <v>103</v>
      </c>
      <c r="J20" s="53">
        <v>80</v>
      </c>
      <c r="K20" t="s">
        <v>93</v>
      </c>
      <c r="L20" t="s">
        <v>93</v>
      </c>
      <c r="M20" t="s">
        <v>267</v>
      </c>
      <c r="N20" s="53">
        <v>4</v>
      </c>
      <c r="O20" s="53">
        <v>7987</v>
      </c>
      <c r="P20" s="53" t="s">
        <v>12</v>
      </c>
      <c r="Q20" s="54">
        <v>45541</v>
      </c>
      <c r="R20" s="54">
        <v>45551</v>
      </c>
      <c r="S20" s="54">
        <v>45556</v>
      </c>
      <c r="T20" t="s">
        <v>274</v>
      </c>
      <c r="U20" t="s">
        <v>116</v>
      </c>
      <c r="V20" t="s">
        <v>290</v>
      </c>
      <c r="W20" t="s">
        <v>287</v>
      </c>
    </row>
    <row r="21" spans="1:23" x14ac:dyDescent="0.25">
      <c r="A21" s="53">
        <v>1408100</v>
      </c>
      <c r="B21" s="53">
        <v>1201057</v>
      </c>
      <c r="C21" t="s">
        <v>19</v>
      </c>
      <c r="D21" t="s">
        <v>34</v>
      </c>
      <c r="E21" t="s">
        <v>292</v>
      </c>
      <c r="F21" t="s">
        <v>6</v>
      </c>
      <c r="G21" t="s">
        <v>78</v>
      </c>
      <c r="H21" t="s">
        <v>81</v>
      </c>
      <c r="I21" t="s">
        <v>103</v>
      </c>
      <c r="J21" s="53">
        <v>80</v>
      </c>
      <c r="K21" t="s">
        <v>93</v>
      </c>
      <c r="L21" t="s">
        <v>93</v>
      </c>
      <c r="M21" t="s">
        <v>267</v>
      </c>
      <c r="N21" s="53">
        <v>4</v>
      </c>
      <c r="O21" s="53">
        <v>7987</v>
      </c>
      <c r="P21" s="53" t="s">
        <v>12</v>
      </c>
      <c r="Q21" s="54">
        <v>45541</v>
      </c>
      <c r="R21" s="54">
        <v>45551</v>
      </c>
      <c r="S21" s="54">
        <v>45556</v>
      </c>
      <c r="T21" t="s">
        <v>274</v>
      </c>
      <c r="U21" t="s">
        <v>116</v>
      </c>
      <c r="V21" t="s">
        <v>290</v>
      </c>
      <c r="W21" t="s">
        <v>287</v>
      </c>
    </row>
    <row r="22" spans="1:23" x14ac:dyDescent="0.25">
      <c r="A22" s="53">
        <v>1408101</v>
      </c>
      <c r="B22" s="53">
        <v>1201057</v>
      </c>
      <c r="C22" t="s">
        <v>19</v>
      </c>
      <c r="D22" t="s">
        <v>34</v>
      </c>
      <c r="E22" t="s">
        <v>292</v>
      </c>
      <c r="F22" t="s">
        <v>6</v>
      </c>
      <c r="G22" t="s">
        <v>78</v>
      </c>
      <c r="H22" t="s">
        <v>81</v>
      </c>
      <c r="I22" t="s">
        <v>103</v>
      </c>
      <c r="J22" s="53">
        <v>80</v>
      </c>
      <c r="K22" t="s">
        <v>93</v>
      </c>
      <c r="L22" t="s">
        <v>93</v>
      </c>
      <c r="M22" t="s">
        <v>267</v>
      </c>
      <c r="N22" s="53">
        <v>4</v>
      </c>
      <c r="O22" s="53">
        <v>7987</v>
      </c>
      <c r="P22" s="53" t="s">
        <v>12</v>
      </c>
      <c r="Q22" s="54">
        <v>45541</v>
      </c>
      <c r="R22" s="54">
        <v>45551</v>
      </c>
      <c r="S22" s="54">
        <v>45556</v>
      </c>
      <c r="T22" t="s">
        <v>274</v>
      </c>
      <c r="U22" t="s">
        <v>116</v>
      </c>
      <c r="V22" t="s">
        <v>290</v>
      </c>
      <c r="W22" t="s">
        <v>287</v>
      </c>
    </row>
    <row r="23" spans="1:23" x14ac:dyDescent="0.25">
      <c r="A23" s="53">
        <v>1513856</v>
      </c>
      <c r="B23" s="53">
        <v>1231946</v>
      </c>
      <c r="C23" t="s">
        <v>52</v>
      </c>
      <c r="D23" t="s">
        <v>53</v>
      </c>
      <c r="E23" t="s">
        <v>292</v>
      </c>
      <c r="F23" t="s">
        <v>6</v>
      </c>
      <c r="G23" t="s">
        <v>171</v>
      </c>
      <c r="H23" t="s">
        <v>109</v>
      </c>
      <c r="I23" t="s">
        <v>210</v>
      </c>
      <c r="J23" s="53" t="s">
        <v>210</v>
      </c>
      <c r="K23" t="s">
        <v>210</v>
      </c>
      <c r="L23" t="s">
        <v>210</v>
      </c>
      <c r="M23" t="s">
        <v>260</v>
      </c>
      <c r="N23" s="53">
        <v>1</v>
      </c>
      <c r="O23" s="53">
        <v>8849</v>
      </c>
      <c r="P23" s="53" t="s">
        <v>12</v>
      </c>
      <c r="Q23" s="54">
        <v>45538</v>
      </c>
      <c r="R23" s="54">
        <v>45581</v>
      </c>
      <c r="S23" s="54" t="s">
        <v>210</v>
      </c>
      <c r="T23" t="s">
        <v>114</v>
      </c>
      <c r="U23" t="s">
        <v>114</v>
      </c>
      <c r="V23" t="s">
        <v>290</v>
      </c>
      <c r="W23" t="s">
        <v>289</v>
      </c>
    </row>
    <row r="24" spans="1:23" x14ac:dyDescent="0.25">
      <c r="A24" s="53">
        <v>1411691</v>
      </c>
      <c r="B24" s="53">
        <v>1202775</v>
      </c>
      <c r="C24" t="s">
        <v>35</v>
      </c>
      <c r="D24" t="s">
        <v>229</v>
      </c>
      <c r="E24" t="s">
        <v>222</v>
      </c>
      <c r="F24" t="s">
        <v>6</v>
      </c>
      <c r="G24" t="s">
        <v>78</v>
      </c>
      <c r="H24" t="s">
        <v>81</v>
      </c>
      <c r="I24" t="s">
        <v>84</v>
      </c>
      <c r="J24" s="53">
        <v>120</v>
      </c>
      <c r="K24" t="s">
        <v>93</v>
      </c>
      <c r="L24" t="s">
        <v>210</v>
      </c>
      <c r="M24" t="s">
        <v>251</v>
      </c>
      <c r="N24" s="53">
        <v>1</v>
      </c>
      <c r="O24" s="53">
        <v>10987</v>
      </c>
      <c r="P24" s="53" t="s">
        <v>12</v>
      </c>
      <c r="Q24" s="54">
        <v>45544</v>
      </c>
      <c r="R24" s="54">
        <v>45552</v>
      </c>
      <c r="S24" s="54">
        <v>45556</v>
      </c>
      <c r="T24" t="s">
        <v>274</v>
      </c>
      <c r="U24" t="s">
        <v>116</v>
      </c>
      <c r="V24" t="s">
        <v>290</v>
      </c>
      <c r="W24" t="s">
        <v>287</v>
      </c>
    </row>
    <row r="25" spans="1:23" x14ac:dyDescent="0.25">
      <c r="A25" s="53" t="s">
        <v>210</v>
      </c>
      <c r="B25" s="53" t="s">
        <v>210</v>
      </c>
      <c r="C25" t="s">
        <v>27</v>
      </c>
      <c r="D25" t="s">
        <v>210</v>
      </c>
      <c r="E25" t="s">
        <v>210</v>
      </c>
      <c r="F25" t="s">
        <v>27</v>
      </c>
      <c r="G25" t="s">
        <v>78</v>
      </c>
      <c r="H25" t="s">
        <v>91</v>
      </c>
      <c r="I25" t="s">
        <v>82</v>
      </c>
      <c r="J25" s="53">
        <v>100</v>
      </c>
      <c r="K25" t="s">
        <v>93</v>
      </c>
      <c r="L25" t="s">
        <v>210</v>
      </c>
      <c r="M25" t="s">
        <v>257</v>
      </c>
      <c r="N25" s="53">
        <v>1</v>
      </c>
      <c r="O25" s="53">
        <v>9208</v>
      </c>
      <c r="P25" s="53">
        <v>5781.75</v>
      </c>
      <c r="Q25" s="54">
        <v>45536</v>
      </c>
      <c r="R25" s="54">
        <v>45554</v>
      </c>
      <c r="S25" s="54">
        <v>45556</v>
      </c>
      <c r="T25" t="s">
        <v>274</v>
      </c>
      <c r="U25" t="s">
        <v>116</v>
      </c>
      <c r="V25" t="s">
        <v>290</v>
      </c>
      <c r="W25" t="s">
        <v>287</v>
      </c>
    </row>
    <row r="26" spans="1:23" x14ac:dyDescent="0.25">
      <c r="A26" s="53" t="s">
        <v>210</v>
      </c>
      <c r="B26" s="53" t="s">
        <v>210</v>
      </c>
      <c r="C26" t="s">
        <v>27</v>
      </c>
      <c r="D26" t="s">
        <v>210</v>
      </c>
      <c r="E26" t="s">
        <v>210</v>
      </c>
      <c r="F26" t="s">
        <v>27</v>
      </c>
      <c r="G26" t="s">
        <v>78</v>
      </c>
      <c r="H26" t="s">
        <v>91</v>
      </c>
      <c r="I26" t="s">
        <v>82</v>
      </c>
      <c r="J26" s="53">
        <v>100</v>
      </c>
      <c r="K26" t="s">
        <v>94</v>
      </c>
      <c r="L26" t="s">
        <v>210</v>
      </c>
      <c r="M26" t="s">
        <v>257</v>
      </c>
      <c r="N26" s="53">
        <v>1</v>
      </c>
      <c r="O26" s="53">
        <v>9208</v>
      </c>
      <c r="P26" s="53">
        <v>1278.53</v>
      </c>
      <c r="Q26" s="54">
        <v>45536</v>
      </c>
      <c r="R26" s="54">
        <v>45554</v>
      </c>
      <c r="S26" s="54">
        <v>45556</v>
      </c>
      <c r="T26" t="s">
        <v>274</v>
      </c>
      <c r="U26" t="s">
        <v>116</v>
      </c>
      <c r="V26" t="s">
        <v>290</v>
      </c>
      <c r="W26" t="s">
        <v>287</v>
      </c>
    </row>
    <row r="27" spans="1:23" x14ac:dyDescent="0.25">
      <c r="A27" s="53" t="s">
        <v>210</v>
      </c>
      <c r="B27" s="53" t="s">
        <v>210</v>
      </c>
      <c r="C27" t="s">
        <v>42</v>
      </c>
      <c r="D27" t="s">
        <v>316</v>
      </c>
      <c r="E27" t="s">
        <v>292</v>
      </c>
      <c r="F27" t="s">
        <v>29</v>
      </c>
      <c r="G27" t="s">
        <v>78</v>
      </c>
      <c r="H27" t="s">
        <v>81</v>
      </c>
      <c r="I27" t="s">
        <v>103</v>
      </c>
      <c r="J27" s="53">
        <v>120</v>
      </c>
      <c r="K27" t="s">
        <v>93</v>
      </c>
      <c r="L27" t="s">
        <v>93</v>
      </c>
      <c r="M27" t="s">
        <v>267</v>
      </c>
      <c r="N27" s="53">
        <v>2</v>
      </c>
      <c r="O27" s="53">
        <v>4020</v>
      </c>
      <c r="P27" s="53" t="s">
        <v>43</v>
      </c>
      <c r="Q27" s="54">
        <v>45547</v>
      </c>
      <c r="R27" s="54">
        <v>45556</v>
      </c>
      <c r="S27" s="54">
        <v>45557</v>
      </c>
      <c r="T27" t="s">
        <v>274</v>
      </c>
      <c r="U27" t="s">
        <v>116</v>
      </c>
      <c r="V27" t="s">
        <v>290</v>
      </c>
      <c r="W27" t="s">
        <v>287</v>
      </c>
    </row>
    <row r="28" spans="1:23" x14ac:dyDescent="0.25">
      <c r="A28" s="53" t="s">
        <v>210</v>
      </c>
      <c r="B28" s="53" t="s">
        <v>210</v>
      </c>
      <c r="C28" t="s">
        <v>42</v>
      </c>
      <c r="D28" t="s">
        <v>316</v>
      </c>
      <c r="E28" t="s">
        <v>292</v>
      </c>
      <c r="F28" t="s">
        <v>29</v>
      </c>
      <c r="G28" t="s">
        <v>78</v>
      </c>
      <c r="H28" t="s">
        <v>81</v>
      </c>
      <c r="I28" t="s">
        <v>95</v>
      </c>
      <c r="J28" s="53">
        <v>120</v>
      </c>
      <c r="K28" t="s">
        <v>94</v>
      </c>
      <c r="L28" t="s">
        <v>94</v>
      </c>
      <c r="M28" t="s">
        <v>269</v>
      </c>
      <c r="N28" s="53">
        <v>2</v>
      </c>
      <c r="O28" s="53">
        <v>4020</v>
      </c>
      <c r="P28" s="53" t="s">
        <v>12</v>
      </c>
      <c r="Q28" s="54">
        <v>45547</v>
      </c>
      <c r="R28" s="54">
        <v>45556</v>
      </c>
      <c r="S28" s="54">
        <v>45557</v>
      </c>
      <c r="T28" t="s">
        <v>274</v>
      </c>
      <c r="U28" t="s">
        <v>116</v>
      </c>
      <c r="V28" t="s">
        <v>290</v>
      </c>
      <c r="W28" t="s">
        <v>287</v>
      </c>
    </row>
    <row r="29" spans="1:23" x14ac:dyDescent="0.25">
      <c r="A29" s="53">
        <v>1509211</v>
      </c>
      <c r="B29" s="53">
        <v>1230837</v>
      </c>
      <c r="C29" t="s">
        <v>75</v>
      </c>
      <c r="D29" t="s">
        <v>76</v>
      </c>
      <c r="E29" t="s">
        <v>76</v>
      </c>
      <c r="F29" t="s">
        <v>6</v>
      </c>
      <c r="G29" t="s">
        <v>78</v>
      </c>
      <c r="H29" t="s">
        <v>79</v>
      </c>
      <c r="I29" t="s">
        <v>210</v>
      </c>
      <c r="J29" s="53" t="s">
        <v>210</v>
      </c>
      <c r="K29" t="s">
        <v>94</v>
      </c>
      <c r="L29" t="s">
        <v>94</v>
      </c>
      <c r="M29" t="s">
        <v>256</v>
      </c>
      <c r="N29" s="53">
        <v>1</v>
      </c>
      <c r="O29" s="53">
        <v>9399</v>
      </c>
      <c r="P29" s="53" t="s">
        <v>12</v>
      </c>
      <c r="Q29" s="54">
        <v>45549</v>
      </c>
      <c r="R29" s="54">
        <v>45557</v>
      </c>
      <c r="S29" s="54" t="s">
        <v>113</v>
      </c>
      <c r="T29" t="s">
        <v>20</v>
      </c>
      <c r="U29" t="s">
        <v>113</v>
      </c>
      <c r="V29" t="s">
        <v>290</v>
      </c>
      <c r="W29" t="s">
        <v>289</v>
      </c>
    </row>
    <row r="30" spans="1:23" x14ac:dyDescent="0.25">
      <c r="A30" s="53">
        <v>1536687</v>
      </c>
      <c r="B30" s="53">
        <v>1237682</v>
      </c>
      <c r="C30" t="s">
        <v>77</v>
      </c>
      <c r="D30" t="s">
        <v>232</v>
      </c>
      <c r="E30" t="s">
        <v>224</v>
      </c>
      <c r="F30" t="s">
        <v>6</v>
      </c>
      <c r="G30" t="s">
        <v>171</v>
      </c>
      <c r="H30" t="s">
        <v>111</v>
      </c>
      <c r="I30" t="s">
        <v>210</v>
      </c>
      <c r="J30" s="53" t="s">
        <v>210</v>
      </c>
      <c r="K30" t="s">
        <v>210</v>
      </c>
      <c r="L30" t="s">
        <v>210</v>
      </c>
      <c r="M30" t="s">
        <v>259</v>
      </c>
      <c r="N30" s="53">
        <v>1</v>
      </c>
      <c r="O30" s="53">
        <v>8349</v>
      </c>
      <c r="P30" s="53" t="s">
        <v>12</v>
      </c>
      <c r="Q30" s="54">
        <v>45549</v>
      </c>
      <c r="R30" s="54">
        <v>45557</v>
      </c>
      <c r="S30" s="54">
        <v>45559</v>
      </c>
      <c r="T30" t="s">
        <v>272</v>
      </c>
      <c r="U30" t="s">
        <v>116</v>
      </c>
      <c r="V30" t="s">
        <v>290</v>
      </c>
      <c r="W30" t="s">
        <v>287</v>
      </c>
    </row>
    <row r="31" spans="1:23" x14ac:dyDescent="0.25">
      <c r="A31" s="53">
        <v>1520537</v>
      </c>
      <c r="B31" s="53">
        <v>1233624</v>
      </c>
      <c r="C31" t="s">
        <v>51</v>
      </c>
      <c r="D31" t="s">
        <v>229</v>
      </c>
      <c r="E31" t="s">
        <v>222</v>
      </c>
      <c r="F31" t="s">
        <v>6</v>
      </c>
      <c r="G31" t="s">
        <v>78</v>
      </c>
      <c r="H31" t="s">
        <v>79</v>
      </c>
      <c r="I31" t="s">
        <v>210</v>
      </c>
      <c r="J31" s="53" t="s">
        <v>210</v>
      </c>
      <c r="K31" t="s">
        <v>94</v>
      </c>
      <c r="L31" t="s">
        <v>94</v>
      </c>
      <c r="M31" t="s">
        <v>268</v>
      </c>
      <c r="N31" s="53">
        <v>1</v>
      </c>
      <c r="O31" s="53">
        <v>9399</v>
      </c>
      <c r="P31" s="53" t="s">
        <v>12</v>
      </c>
      <c r="Q31" s="54">
        <v>45548</v>
      </c>
      <c r="R31" s="54">
        <v>45559</v>
      </c>
      <c r="S31" s="54">
        <v>45566</v>
      </c>
      <c r="T31" t="s">
        <v>272</v>
      </c>
      <c r="U31" t="s">
        <v>116</v>
      </c>
      <c r="V31" t="s">
        <v>290</v>
      </c>
      <c r="W31" t="s">
        <v>287</v>
      </c>
    </row>
    <row r="32" spans="1:23" x14ac:dyDescent="0.25">
      <c r="A32" s="53">
        <v>1422998</v>
      </c>
      <c r="B32" s="53">
        <v>1207350</v>
      </c>
      <c r="C32" t="s">
        <v>36</v>
      </c>
      <c r="D32" t="s">
        <v>187</v>
      </c>
      <c r="E32" t="s">
        <v>292</v>
      </c>
      <c r="F32" t="s">
        <v>6</v>
      </c>
      <c r="G32" t="s">
        <v>171</v>
      </c>
      <c r="H32" t="s">
        <v>109</v>
      </c>
      <c r="I32" t="s">
        <v>210</v>
      </c>
      <c r="J32" s="53" t="s">
        <v>210</v>
      </c>
      <c r="K32" t="s">
        <v>210</v>
      </c>
      <c r="L32" t="s">
        <v>210</v>
      </c>
      <c r="M32" t="s">
        <v>260</v>
      </c>
      <c r="N32" s="53">
        <v>1</v>
      </c>
      <c r="O32" s="53">
        <v>7849</v>
      </c>
      <c r="P32" s="53">
        <v>7928</v>
      </c>
      <c r="Q32" s="54">
        <v>45547</v>
      </c>
      <c r="R32" s="54">
        <v>45561</v>
      </c>
      <c r="S32" s="54" t="s">
        <v>210</v>
      </c>
      <c r="T32" t="s">
        <v>272</v>
      </c>
      <c r="U32" t="s">
        <v>116</v>
      </c>
      <c r="V32" t="s">
        <v>290</v>
      </c>
      <c r="W32" t="s">
        <v>287</v>
      </c>
    </row>
    <row r="33" spans="1:23" x14ac:dyDescent="0.25">
      <c r="A33" s="53" t="s">
        <v>210</v>
      </c>
      <c r="B33" s="53" t="s">
        <v>210</v>
      </c>
      <c r="C33" t="s">
        <v>291</v>
      </c>
      <c r="D33" t="s">
        <v>234</v>
      </c>
      <c r="E33" t="s">
        <v>222</v>
      </c>
      <c r="F33" t="s">
        <v>164</v>
      </c>
      <c r="G33" t="s">
        <v>78</v>
      </c>
      <c r="H33" t="s">
        <v>97</v>
      </c>
      <c r="I33" t="s">
        <v>83</v>
      </c>
      <c r="J33" s="53">
        <v>100</v>
      </c>
      <c r="K33" t="s">
        <v>94</v>
      </c>
      <c r="L33" t="s">
        <v>210</v>
      </c>
      <c r="M33" t="s">
        <v>270</v>
      </c>
      <c r="N33" s="53">
        <v>3</v>
      </c>
      <c r="O33" s="53">
        <v>9450</v>
      </c>
      <c r="P33" s="53">
        <v>9450</v>
      </c>
      <c r="Q33" s="54">
        <v>45547</v>
      </c>
      <c r="R33" s="54">
        <v>45561</v>
      </c>
      <c r="S33" s="54" t="s">
        <v>210</v>
      </c>
      <c r="T33" t="s">
        <v>114</v>
      </c>
      <c r="U33" t="s">
        <v>114</v>
      </c>
      <c r="V33" t="s">
        <v>290</v>
      </c>
      <c r="W33" t="s">
        <v>289</v>
      </c>
    </row>
    <row r="34" spans="1:23" x14ac:dyDescent="0.25">
      <c r="A34" s="53">
        <v>1459790</v>
      </c>
      <c r="B34" s="53">
        <v>1218257</v>
      </c>
      <c r="C34" t="s">
        <v>46</v>
      </c>
      <c r="D34" t="s">
        <v>34</v>
      </c>
      <c r="E34" t="s">
        <v>292</v>
      </c>
      <c r="F34" t="s">
        <v>6</v>
      </c>
      <c r="G34" t="s">
        <v>78</v>
      </c>
      <c r="H34" t="s">
        <v>81</v>
      </c>
      <c r="I34" t="s">
        <v>84</v>
      </c>
      <c r="J34" s="53">
        <v>120</v>
      </c>
      <c r="K34" t="s">
        <v>94</v>
      </c>
      <c r="L34" t="s">
        <v>210</v>
      </c>
      <c r="M34" t="s">
        <v>251</v>
      </c>
      <c r="N34" s="53">
        <v>1</v>
      </c>
      <c r="O34" s="53">
        <v>7460</v>
      </c>
      <c r="P34" s="53" t="s">
        <v>12</v>
      </c>
      <c r="Q34" s="54">
        <v>45548</v>
      </c>
      <c r="R34" s="54">
        <v>45561</v>
      </c>
      <c r="S34" s="54">
        <v>45568</v>
      </c>
      <c r="T34" t="s">
        <v>274</v>
      </c>
      <c r="U34" t="s">
        <v>116</v>
      </c>
      <c r="V34" t="s">
        <v>290</v>
      </c>
      <c r="W34" t="s">
        <v>287</v>
      </c>
    </row>
    <row r="35" spans="1:23" x14ac:dyDescent="0.25">
      <c r="A35" s="53">
        <v>1455486</v>
      </c>
      <c r="B35" s="53">
        <v>1217163</v>
      </c>
      <c r="C35" t="s">
        <v>48</v>
      </c>
      <c r="D35" t="s">
        <v>34</v>
      </c>
      <c r="E35" t="s">
        <v>292</v>
      </c>
      <c r="F35" t="s">
        <v>6</v>
      </c>
      <c r="G35" t="s">
        <v>78</v>
      </c>
      <c r="H35" t="s">
        <v>81</v>
      </c>
      <c r="I35" t="s">
        <v>104</v>
      </c>
      <c r="J35" s="53">
        <v>140</v>
      </c>
      <c r="K35" t="s">
        <v>102</v>
      </c>
      <c r="L35" t="s">
        <v>247</v>
      </c>
      <c r="M35" t="s">
        <v>258</v>
      </c>
      <c r="N35" s="53">
        <v>1</v>
      </c>
      <c r="O35" s="53">
        <v>9528</v>
      </c>
      <c r="P35" s="53" t="s">
        <v>12</v>
      </c>
      <c r="Q35" s="54">
        <v>45548</v>
      </c>
      <c r="R35" s="54">
        <v>45561</v>
      </c>
      <c r="S35" s="54">
        <v>45568</v>
      </c>
      <c r="T35" t="s">
        <v>274</v>
      </c>
      <c r="U35" t="s">
        <v>116</v>
      </c>
      <c r="V35" t="s">
        <v>290</v>
      </c>
      <c r="W35" t="s">
        <v>287</v>
      </c>
    </row>
    <row r="36" spans="1:23" x14ac:dyDescent="0.25">
      <c r="A36" s="53">
        <v>1504407</v>
      </c>
      <c r="B36" s="53">
        <v>1229760</v>
      </c>
      <c r="C36" t="s">
        <v>74</v>
      </c>
      <c r="D36" t="s">
        <v>229</v>
      </c>
      <c r="E36" t="s">
        <v>222</v>
      </c>
      <c r="F36" t="s">
        <v>6</v>
      </c>
      <c r="G36" t="s">
        <v>78</v>
      </c>
      <c r="H36" t="s">
        <v>91</v>
      </c>
      <c r="I36" t="s">
        <v>83</v>
      </c>
      <c r="J36" s="53">
        <v>120</v>
      </c>
      <c r="K36" t="s">
        <v>98</v>
      </c>
      <c r="L36" t="s">
        <v>210</v>
      </c>
      <c r="M36" t="s">
        <v>249</v>
      </c>
      <c r="N36" s="53">
        <v>1</v>
      </c>
      <c r="O36" s="53">
        <v>12999</v>
      </c>
      <c r="P36" s="53" t="s">
        <v>12</v>
      </c>
      <c r="Q36" s="54">
        <v>45549</v>
      </c>
      <c r="R36" s="54">
        <v>45562</v>
      </c>
      <c r="S36" s="54">
        <v>45567</v>
      </c>
      <c r="T36" t="s">
        <v>274</v>
      </c>
      <c r="U36" t="s">
        <v>116</v>
      </c>
      <c r="V36" t="s">
        <v>290</v>
      </c>
      <c r="W36" t="s">
        <v>287</v>
      </c>
    </row>
    <row r="37" spans="1:23" x14ac:dyDescent="0.25">
      <c r="A37" s="53">
        <v>1423361</v>
      </c>
      <c r="B37" s="53">
        <v>1207484</v>
      </c>
      <c r="C37" t="s">
        <v>38</v>
      </c>
      <c r="D37" t="s">
        <v>235</v>
      </c>
      <c r="E37" t="s">
        <v>292</v>
      </c>
      <c r="F37" t="s">
        <v>6</v>
      </c>
      <c r="G37" t="s">
        <v>78</v>
      </c>
      <c r="H37" t="s">
        <v>91</v>
      </c>
      <c r="I37" t="s">
        <v>80</v>
      </c>
      <c r="J37" s="53">
        <v>90</v>
      </c>
      <c r="K37" t="s">
        <v>94</v>
      </c>
      <c r="L37" t="s">
        <v>210</v>
      </c>
      <c r="M37" t="s">
        <v>255</v>
      </c>
      <c r="N37" s="53">
        <v>1</v>
      </c>
      <c r="O37" s="53">
        <v>5999</v>
      </c>
      <c r="P37" s="53" t="s">
        <v>12</v>
      </c>
      <c r="Q37" s="54">
        <v>45547</v>
      </c>
      <c r="R37" s="54">
        <v>45564</v>
      </c>
      <c r="S37" s="54" t="s">
        <v>210</v>
      </c>
      <c r="T37" t="s">
        <v>210</v>
      </c>
      <c r="U37" t="s">
        <v>210</v>
      </c>
      <c r="V37" t="s">
        <v>290</v>
      </c>
      <c r="W37" t="s">
        <v>289</v>
      </c>
    </row>
    <row r="38" spans="1:23" x14ac:dyDescent="0.25">
      <c r="A38" s="53">
        <v>1415725</v>
      </c>
      <c r="B38" s="53">
        <v>1204732</v>
      </c>
      <c r="C38" t="s">
        <v>39</v>
      </c>
      <c r="D38" t="s">
        <v>40</v>
      </c>
      <c r="E38" t="s">
        <v>292</v>
      </c>
      <c r="F38" t="s">
        <v>6</v>
      </c>
      <c r="G38" t="s">
        <v>78</v>
      </c>
      <c r="H38" t="s">
        <v>91</v>
      </c>
      <c r="I38" t="s">
        <v>83</v>
      </c>
      <c r="J38" s="53">
        <v>100</v>
      </c>
      <c r="K38" t="s">
        <v>94</v>
      </c>
      <c r="L38" t="s">
        <v>94</v>
      </c>
      <c r="M38" t="s">
        <v>249</v>
      </c>
      <c r="N38" s="53">
        <v>2</v>
      </c>
      <c r="O38" s="53">
        <v>11949</v>
      </c>
      <c r="P38" s="53">
        <v>10749</v>
      </c>
      <c r="Q38" s="54">
        <v>45547</v>
      </c>
      <c r="R38" s="54">
        <v>45564</v>
      </c>
      <c r="S38" s="54">
        <v>45567</v>
      </c>
      <c r="T38" t="s">
        <v>274</v>
      </c>
      <c r="U38" t="s">
        <v>116</v>
      </c>
      <c r="V38" t="s">
        <v>290</v>
      </c>
      <c r="W38" t="s">
        <v>287</v>
      </c>
    </row>
    <row r="39" spans="1:23" x14ac:dyDescent="0.25">
      <c r="A39" s="53">
        <v>1415726</v>
      </c>
      <c r="B39" s="53">
        <v>1204732</v>
      </c>
      <c r="C39" t="s">
        <v>39</v>
      </c>
      <c r="D39" t="s">
        <v>40</v>
      </c>
      <c r="E39" t="s">
        <v>292</v>
      </c>
      <c r="F39" t="s">
        <v>6</v>
      </c>
      <c r="G39" t="s">
        <v>78</v>
      </c>
      <c r="H39" t="s">
        <v>91</v>
      </c>
      <c r="I39" t="s">
        <v>83</v>
      </c>
      <c r="J39" s="53">
        <v>100</v>
      </c>
      <c r="K39" t="s">
        <v>94</v>
      </c>
      <c r="L39" t="s">
        <v>94</v>
      </c>
      <c r="M39" t="s">
        <v>249</v>
      </c>
      <c r="N39" s="53">
        <v>2</v>
      </c>
      <c r="O39" s="53">
        <v>11949</v>
      </c>
      <c r="P39" s="53">
        <v>10749</v>
      </c>
      <c r="Q39" s="54">
        <v>45547</v>
      </c>
      <c r="R39" s="54">
        <v>45564</v>
      </c>
      <c r="S39" s="54">
        <v>45567</v>
      </c>
      <c r="T39" t="s">
        <v>274</v>
      </c>
      <c r="U39" t="s">
        <v>116</v>
      </c>
      <c r="V39" t="s">
        <v>290</v>
      </c>
      <c r="W39" t="s">
        <v>287</v>
      </c>
    </row>
    <row r="40" spans="1:23" x14ac:dyDescent="0.25">
      <c r="A40" s="53">
        <v>1499397</v>
      </c>
      <c r="B40" s="53">
        <v>1228586</v>
      </c>
      <c r="C40" t="s">
        <v>19</v>
      </c>
      <c r="D40" t="s">
        <v>235</v>
      </c>
      <c r="E40" t="s">
        <v>292</v>
      </c>
      <c r="F40" t="s">
        <v>6</v>
      </c>
      <c r="G40" t="s">
        <v>78</v>
      </c>
      <c r="H40" t="s">
        <v>97</v>
      </c>
      <c r="I40" t="s">
        <v>83</v>
      </c>
      <c r="J40" s="53">
        <v>80</v>
      </c>
      <c r="K40" t="s">
        <v>93</v>
      </c>
      <c r="L40" t="s">
        <v>210</v>
      </c>
      <c r="M40" t="s">
        <v>270</v>
      </c>
      <c r="N40" s="53">
        <v>3</v>
      </c>
      <c r="O40" s="53">
        <v>16599</v>
      </c>
      <c r="P40" s="53" t="s">
        <v>12</v>
      </c>
      <c r="Q40" s="54">
        <v>45548</v>
      </c>
      <c r="R40" s="54">
        <v>45565</v>
      </c>
      <c r="S40" s="54">
        <v>45568</v>
      </c>
      <c r="T40" t="s">
        <v>274</v>
      </c>
      <c r="U40" t="s">
        <v>116</v>
      </c>
      <c r="V40" t="s">
        <v>290</v>
      </c>
      <c r="W40" t="s">
        <v>287</v>
      </c>
    </row>
    <row r="41" spans="1:23" x14ac:dyDescent="0.25">
      <c r="A41" s="53">
        <v>1458696</v>
      </c>
      <c r="B41" s="53">
        <v>1217982</v>
      </c>
      <c r="C41" t="s">
        <v>44</v>
      </c>
      <c r="D41" t="s">
        <v>60</v>
      </c>
      <c r="E41" t="s">
        <v>60</v>
      </c>
      <c r="F41" t="s">
        <v>6</v>
      </c>
      <c r="G41" t="s">
        <v>78</v>
      </c>
      <c r="H41" t="s">
        <v>91</v>
      </c>
      <c r="I41" t="s">
        <v>83</v>
      </c>
      <c r="J41" s="53">
        <v>80</v>
      </c>
      <c r="K41" t="s">
        <v>93</v>
      </c>
      <c r="L41" t="s">
        <v>93</v>
      </c>
      <c r="M41" t="s">
        <v>266</v>
      </c>
      <c r="N41" s="53">
        <v>1</v>
      </c>
      <c r="O41" s="53">
        <v>10999</v>
      </c>
      <c r="P41" s="53" t="s">
        <v>12</v>
      </c>
      <c r="Q41" s="54">
        <v>45548</v>
      </c>
      <c r="R41" s="54">
        <v>45565</v>
      </c>
      <c r="S41" s="54">
        <v>45581</v>
      </c>
      <c r="T41" t="s">
        <v>272</v>
      </c>
      <c r="U41" t="s">
        <v>116</v>
      </c>
      <c r="V41" t="s">
        <v>290</v>
      </c>
      <c r="W41" t="s">
        <v>287</v>
      </c>
    </row>
    <row r="42" spans="1:23" x14ac:dyDescent="0.25">
      <c r="A42" s="53">
        <v>1480814</v>
      </c>
      <c r="B42" s="53">
        <v>1223964</v>
      </c>
      <c r="C42" t="s">
        <v>45</v>
      </c>
      <c r="D42" t="s">
        <v>237</v>
      </c>
      <c r="E42" t="s">
        <v>76</v>
      </c>
      <c r="F42" t="s">
        <v>6</v>
      </c>
      <c r="G42" t="s">
        <v>78</v>
      </c>
      <c r="H42" t="s">
        <v>91</v>
      </c>
      <c r="I42" t="s">
        <v>83</v>
      </c>
      <c r="J42" s="53">
        <v>140</v>
      </c>
      <c r="K42" t="s">
        <v>96</v>
      </c>
      <c r="L42" t="s">
        <v>210</v>
      </c>
      <c r="M42" t="s">
        <v>253</v>
      </c>
      <c r="N42" s="53">
        <v>1</v>
      </c>
      <c r="O42" s="53">
        <v>13099</v>
      </c>
      <c r="P42" s="53" t="s">
        <v>12</v>
      </c>
      <c r="Q42" s="54">
        <v>45548</v>
      </c>
      <c r="R42" s="54">
        <v>45565</v>
      </c>
      <c r="S42" s="54">
        <v>45568</v>
      </c>
      <c r="T42" t="s">
        <v>272</v>
      </c>
      <c r="U42" t="s">
        <v>116</v>
      </c>
      <c r="V42" t="s">
        <v>290</v>
      </c>
      <c r="W42" t="s">
        <v>287</v>
      </c>
    </row>
    <row r="43" spans="1:23" x14ac:dyDescent="0.25">
      <c r="A43" s="53">
        <v>1492471</v>
      </c>
      <c r="B43" s="53">
        <v>1227052</v>
      </c>
      <c r="C43" t="s">
        <v>47</v>
      </c>
      <c r="D43" t="s">
        <v>229</v>
      </c>
      <c r="E43" t="s">
        <v>222</v>
      </c>
      <c r="F43" t="s">
        <v>6</v>
      </c>
      <c r="G43" t="s">
        <v>78</v>
      </c>
      <c r="H43" t="s">
        <v>91</v>
      </c>
      <c r="I43" t="s">
        <v>82</v>
      </c>
      <c r="J43" s="53">
        <v>120</v>
      </c>
      <c r="K43" t="s">
        <v>99</v>
      </c>
      <c r="L43" t="s">
        <v>210</v>
      </c>
      <c r="M43" t="s">
        <v>257</v>
      </c>
      <c r="N43" s="53">
        <v>1</v>
      </c>
      <c r="O43" s="53">
        <v>13849</v>
      </c>
      <c r="P43" s="53" t="s">
        <v>12</v>
      </c>
      <c r="Q43" s="54">
        <v>45548</v>
      </c>
      <c r="R43" s="54">
        <v>45565</v>
      </c>
      <c r="S43" s="54">
        <v>45585</v>
      </c>
      <c r="T43" t="s">
        <v>274</v>
      </c>
      <c r="U43" t="s">
        <v>116</v>
      </c>
      <c r="V43" t="s">
        <v>290</v>
      </c>
      <c r="W43" t="s">
        <v>287</v>
      </c>
    </row>
    <row r="44" spans="1:23" x14ac:dyDescent="0.25">
      <c r="A44" s="53">
        <v>1507912</v>
      </c>
      <c r="B44" s="53">
        <v>1230527</v>
      </c>
      <c r="C44" t="s">
        <v>49</v>
      </c>
      <c r="D44" t="s">
        <v>34</v>
      </c>
      <c r="E44" t="s">
        <v>292</v>
      </c>
      <c r="F44" t="s">
        <v>6</v>
      </c>
      <c r="G44" t="s">
        <v>88</v>
      </c>
      <c r="H44" t="s">
        <v>90</v>
      </c>
      <c r="I44" t="s">
        <v>210</v>
      </c>
      <c r="J44" s="53" t="s">
        <v>210</v>
      </c>
      <c r="K44" t="s">
        <v>94</v>
      </c>
      <c r="L44" t="s">
        <v>247</v>
      </c>
      <c r="M44" t="s">
        <v>271</v>
      </c>
      <c r="N44" s="53">
        <v>4</v>
      </c>
      <c r="O44" s="53">
        <v>21999</v>
      </c>
      <c r="P44" s="53" t="s">
        <v>12</v>
      </c>
      <c r="Q44" s="54">
        <v>45548</v>
      </c>
      <c r="R44" s="54">
        <v>45565</v>
      </c>
      <c r="S44" s="54" t="s">
        <v>210</v>
      </c>
      <c r="T44" t="s">
        <v>274</v>
      </c>
      <c r="U44" t="s">
        <v>116</v>
      </c>
      <c r="V44" t="s">
        <v>290</v>
      </c>
      <c r="W44" t="s">
        <v>287</v>
      </c>
    </row>
    <row r="45" spans="1:23" x14ac:dyDescent="0.25">
      <c r="A45" s="53">
        <v>1525747</v>
      </c>
      <c r="B45" s="53">
        <v>1234936</v>
      </c>
      <c r="C45" t="s">
        <v>54</v>
      </c>
      <c r="D45" t="s">
        <v>229</v>
      </c>
      <c r="E45" t="s">
        <v>222</v>
      </c>
      <c r="F45" t="s">
        <v>6</v>
      </c>
      <c r="G45" t="s">
        <v>78</v>
      </c>
      <c r="H45" t="s">
        <v>91</v>
      </c>
      <c r="I45" t="s">
        <v>83</v>
      </c>
      <c r="J45" s="53">
        <v>80</v>
      </c>
      <c r="K45" t="s">
        <v>93</v>
      </c>
      <c r="L45" t="s">
        <v>93</v>
      </c>
      <c r="M45" t="s">
        <v>266</v>
      </c>
      <c r="N45" s="53">
        <v>1</v>
      </c>
      <c r="O45" s="53">
        <v>10999</v>
      </c>
      <c r="P45" s="53" t="s">
        <v>12</v>
      </c>
      <c r="Q45" s="54">
        <v>45548</v>
      </c>
      <c r="R45" s="54">
        <v>45565</v>
      </c>
      <c r="S45" s="54">
        <v>45580</v>
      </c>
      <c r="T45" t="s">
        <v>274</v>
      </c>
      <c r="U45" t="s">
        <v>116</v>
      </c>
      <c r="V45" t="s">
        <v>290</v>
      </c>
      <c r="W45" t="s">
        <v>287</v>
      </c>
    </row>
    <row r="46" spans="1:23" x14ac:dyDescent="0.25">
      <c r="A46" s="53">
        <v>1536313</v>
      </c>
      <c r="B46" s="53">
        <v>1237601</v>
      </c>
      <c r="C46" t="s">
        <v>55</v>
      </c>
      <c r="D46" t="s">
        <v>53</v>
      </c>
      <c r="E46" t="s">
        <v>292</v>
      </c>
      <c r="F46" t="s">
        <v>6</v>
      </c>
      <c r="G46" t="s">
        <v>78</v>
      </c>
      <c r="H46" t="s">
        <v>97</v>
      </c>
      <c r="I46" t="s">
        <v>83</v>
      </c>
      <c r="J46" s="53">
        <v>90</v>
      </c>
      <c r="K46" t="s">
        <v>94</v>
      </c>
      <c r="L46" t="s">
        <v>210</v>
      </c>
      <c r="M46" t="s">
        <v>270</v>
      </c>
      <c r="N46" s="53">
        <v>3</v>
      </c>
      <c r="O46" s="53">
        <v>17249</v>
      </c>
      <c r="P46" s="53" t="s">
        <v>12</v>
      </c>
      <c r="Q46" s="54">
        <v>45548</v>
      </c>
      <c r="R46" s="54">
        <v>45565</v>
      </c>
      <c r="S46" s="54">
        <v>45569</v>
      </c>
      <c r="T46" t="s">
        <v>274</v>
      </c>
      <c r="U46" t="s">
        <v>116</v>
      </c>
      <c r="V46" t="s">
        <v>290</v>
      </c>
      <c r="W46" t="s">
        <v>287</v>
      </c>
    </row>
    <row r="47" spans="1:23" x14ac:dyDescent="0.25">
      <c r="A47" s="53">
        <v>1505609</v>
      </c>
      <c r="B47" s="53">
        <v>1230031</v>
      </c>
      <c r="C47" t="s">
        <v>73</v>
      </c>
      <c r="D47" t="s">
        <v>239</v>
      </c>
      <c r="E47" t="s">
        <v>222</v>
      </c>
      <c r="F47" t="s">
        <v>6</v>
      </c>
      <c r="G47" t="s">
        <v>171</v>
      </c>
      <c r="H47" t="s">
        <v>109</v>
      </c>
      <c r="I47" t="s">
        <v>210</v>
      </c>
      <c r="J47" s="53" t="s">
        <v>210</v>
      </c>
      <c r="K47" t="s">
        <v>210</v>
      </c>
      <c r="L47" t="s">
        <v>210</v>
      </c>
      <c r="M47" t="s">
        <v>260</v>
      </c>
      <c r="N47" s="53">
        <v>2</v>
      </c>
      <c r="O47" s="53">
        <v>8349</v>
      </c>
      <c r="P47" s="53" t="s">
        <v>12</v>
      </c>
      <c r="Q47" s="54">
        <v>45549</v>
      </c>
      <c r="R47" s="54">
        <v>45581</v>
      </c>
      <c r="S47" s="54">
        <v>45586</v>
      </c>
      <c r="T47" t="s">
        <v>274</v>
      </c>
      <c r="U47" t="s">
        <v>116</v>
      </c>
      <c r="V47" t="s">
        <v>290</v>
      </c>
      <c r="W47" t="s">
        <v>287</v>
      </c>
    </row>
    <row r="48" spans="1:23" x14ac:dyDescent="0.25">
      <c r="A48" s="53">
        <v>1612229</v>
      </c>
      <c r="B48" s="53">
        <v>1254076</v>
      </c>
      <c r="C48" t="s">
        <v>61</v>
      </c>
      <c r="D48" t="s">
        <v>32</v>
      </c>
      <c r="E48" t="s">
        <v>292</v>
      </c>
      <c r="F48" t="s">
        <v>6</v>
      </c>
      <c r="G48" t="s">
        <v>171</v>
      </c>
      <c r="H48" t="s">
        <v>171</v>
      </c>
      <c r="I48" t="s">
        <v>210</v>
      </c>
      <c r="J48" s="53" t="s">
        <v>210</v>
      </c>
      <c r="K48" t="s">
        <v>210</v>
      </c>
      <c r="L48" t="s">
        <v>210</v>
      </c>
      <c r="M48" t="s">
        <v>261</v>
      </c>
      <c r="N48" s="53">
        <v>1</v>
      </c>
      <c r="O48" s="53">
        <v>7849</v>
      </c>
      <c r="P48" s="53" t="s">
        <v>12</v>
      </c>
      <c r="Q48" s="54">
        <v>45549</v>
      </c>
      <c r="R48" s="54">
        <v>45594</v>
      </c>
      <c r="S48" s="54">
        <v>45595</v>
      </c>
      <c r="T48" t="s">
        <v>274</v>
      </c>
      <c r="U48" t="s">
        <v>116</v>
      </c>
      <c r="V48" t="s">
        <v>290</v>
      </c>
      <c r="W48" t="s">
        <v>287</v>
      </c>
    </row>
    <row r="49" spans="1:23" x14ac:dyDescent="0.25">
      <c r="A49" s="53">
        <v>1673771</v>
      </c>
      <c r="B49" s="53">
        <v>1269559</v>
      </c>
      <c r="C49" t="s">
        <v>62</v>
      </c>
      <c r="D49" t="s">
        <v>229</v>
      </c>
      <c r="E49" t="s">
        <v>222</v>
      </c>
      <c r="F49" t="s">
        <v>6</v>
      </c>
      <c r="G49" t="s">
        <v>78</v>
      </c>
      <c r="H49" t="s">
        <v>79</v>
      </c>
      <c r="I49" t="s">
        <v>210</v>
      </c>
      <c r="J49" s="53" t="s">
        <v>210</v>
      </c>
      <c r="K49" t="s">
        <v>94</v>
      </c>
      <c r="L49" t="s">
        <v>210</v>
      </c>
      <c r="M49" t="s">
        <v>268</v>
      </c>
      <c r="N49" s="53">
        <v>1</v>
      </c>
      <c r="O49" s="53">
        <v>9399</v>
      </c>
      <c r="P49" s="53" t="s">
        <v>12</v>
      </c>
      <c r="Q49" s="54">
        <v>45549</v>
      </c>
      <c r="R49" s="54">
        <v>45594</v>
      </c>
      <c r="S49" s="54">
        <v>45580</v>
      </c>
      <c r="T49" t="s">
        <v>274</v>
      </c>
      <c r="U49" t="s">
        <v>116</v>
      </c>
      <c r="V49" t="s">
        <v>286</v>
      </c>
      <c r="W49" t="s">
        <v>287</v>
      </c>
    </row>
    <row r="50" spans="1:23" x14ac:dyDescent="0.25">
      <c r="A50" s="53">
        <v>1667352</v>
      </c>
      <c r="B50" s="53">
        <v>1267819</v>
      </c>
      <c r="C50" t="s">
        <v>63</v>
      </c>
      <c r="D50" t="s">
        <v>229</v>
      </c>
      <c r="E50" t="s">
        <v>222</v>
      </c>
      <c r="F50" t="s">
        <v>6</v>
      </c>
      <c r="G50" t="s">
        <v>78</v>
      </c>
      <c r="H50" t="s">
        <v>81</v>
      </c>
      <c r="I50" t="s">
        <v>84</v>
      </c>
      <c r="J50" s="53">
        <v>140</v>
      </c>
      <c r="K50" t="s">
        <v>94</v>
      </c>
      <c r="L50" t="s">
        <v>129</v>
      </c>
      <c r="M50" t="s">
        <v>251</v>
      </c>
      <c r="N50" s="53">
        <v>1</v>
      </c>
      <c r="O50" s="53">
        <v>11817</v>
      </c>
      <c r="P50" s="53" t="s">
        <v>12</v>
      </c>
      <c r="Q50" s="54">
        <v>45549</v>
      </c>
      <c r="R50" s="54">
        <v>45594</v>
      </c>
      <c r="S50" s="54">
        <v>45580</v>
      </c>
      <c r="T50" t="s">
        <v>274</v>
      </c>
      <c r="U50" t="s">
        <v>116</v>
      </c>
      <c r="V50" t="s">
        <v>286</v>
      </c>
      <c r="W50" t="s">
        <v>287</v>
      </c>
    </row>
    <row r="51" spans="1:23" x14ac:dyDescent="0.25">
      <c r="A51" s="53">
        <v>1649781</v>
      </c>
      <c r="B51" s="53">
        <v>1263160</v>
      </c>
      <c r="C51" t="s">
        <v>64</v>
      </c>
      <c r="D51" t="s">
        <v>235</v>
      </c>
      <c r="E51" t="s">
        <v>292</v>
      </c>
      <c r="F51" t="s">
        <v>6</v>
      </c>
      <c r="G51" t="s">
        <v>171</v>
      </c>
      <c r="H51" t="s">
        <v>111</v>
      </c>
      <c r="I51" t="s">
        <v>210</v>
      </c>
      <c r="J51" s="53" t="s">
        <v>210</v>
      </c>
      <c r="K51" t="s">
        <v>210</v>
      </c>
      <c r="L51" t="s">
        <v>210</v>
      </c>
      <c r="M51" t="s">
        <v>259</v>
      </c>
      <c r="N51" s="53">
        <v>1</v>
      </c>
      <c r="O51" s="53">
        <v>8349</v>
      </c>
      <c r="P51" s="53" t="s">
        <v>12</v>
      </c>
      <c r="Q51" s="54">
        <v>45549</v>
      </c>
      <c r="R51" s="54">
        <v>45594</v>
      </c>
      <c r="S51" s="54">
        <v>45584</v>
      </c>
      <c r="T51" t="s">
        <v>274</v>
      </c>
      <c r="U51" t="s">
        <v>116</v>
      </c>
      <c r="V51" t="s">
        <v>286</v>
      </c>
      <c r="W51" t="s">
        <v>287</v>
      </c>
    </row>
    <row r="52" spans="1:23" x14ac:dyDescent="0.25">
      <c r="A52" s="53">
        <v>1681476</v>
      </c>
      <c r="B52" s="53">
        <v>1271813</v>
      </c>
      <c r="C52" t="s">
        <v>66</v>
      </c>
      <c r="D52" t="s">
        <v>67</v>
      </c>
      <c r="E52" t="s">
        <v>292</v>
      </c>
      <c r="F52" t="s">
        <v>6</v>
      </c>
      <c r="G52" t="s">
        <v>78</v>
      </c>
      <c r="H52" t="s">
        <v>81</v>
      </c>
      <c r="I52" t="s">
        <v>103</v>
      </c>
      <c r="J52" s="53">
        <v>120</v>
      </c>
      <c r="K52" t="s">
        <v>93</v>
      </c>
      <c r="L52" t="s">
        <v>93</v>
      </c>
      <c r="M52" t="s">
        <v>250</v>
      </c>
      <c r="N52" s="53">
        <v>2</v>
      </c>
      <c r="O52" s="53">
        <v>17886</v>
      </c>
      <c r="P52" s="53" t="s">
        <v>12</v>
      </c>
      <c r="Q52" s="54">
        <v>45549</v>
      </c>
      <c r="R52" s="54">
        <v>45594</v>
      </c>
      <c r="S52" s="54" t="s">
        <v>210</v>
      </c>
      <c r="T52" t="s">
        <v>114</v>
      </c>
      <c r="U52" t="s">
        <v>114</v>
      </c>
      <c r="V52" t="s">
        <v>290</v>
      </c>
      <c r="W52" t="s">
        <v>289</v>
      </c>
    </row>
    <row r="53" spans="1:23" x14ac:dyDescent="0.25">
      <c r="A53" s="53">
        <v>1681477</v>
      </c>
      <c r="B53" s="53">
        <v>1271813</v>
      </c>
      <c r="C53" t="s">
        <v>66</v>
      </c>
      <c r="D53" t="s">
        <v>67</v>
      </c>
      <c r="E53" t="s">
        <v>292</v>
      </c>
      <c r="F53" t="s">
        <v>6</v>
      </c>
      <c r="G53" t="s">
        <v>78</v>
      </c>
      <c r="H53" t="s">
        <v>81</v>
      </c>
      <c r="I53" t="s">
        <v>103</v>
      </c>
      <c r="J53" s="53">
        <v>120</v>
      </c>
      <c r="K53" t="s">
        <v>93</v>
      </c>
      <c r="L53" t="s">
        <v>93</v>
      </c>
      <c r="M53" t="s">
        <v>250</v>
      </c>
      <c r="N53" s="53">
        <v>2</v>
      </c>
      <c r="O53" s="53">
        <v>17886</v>
      </c>
      <c r="P53" s="53" t="s">
        <v>12</v>
      </c>
      <c r="Q53" s="54">
        <v>45549</v>
      </c>
      <c r="R53" s="54">
        <v>45594</v>
      </c>
      <c r="S53" s="54" t="s">
        <v>210</v>
      </c>
      <c r="T53" t="s">
        <v>114</v>
      </c>
      <c r="U53" t="s">
        <v>114</v>
      </c>
      <c r="V53" t="s">
        <v>290</v>
      </c>
      <c r="W53" t="s">
        <v>289</v>
      </c>
    </row>
    <row r="54" spans="1:23" x14ac:dyDescent="0.25">
      <c r="A54" s="53">
        <v>1677530</v>
      </c>
      <c r="B54" s="53">
        <v>1270704</v>
      </c>
      <c r="C54" t="s">
        <v>68</v>
      </c>
      <c r="D54" t="s">
        <v>34</v>
      </c>
      <c r="E54" t="s">
        <v>292</v>
      </c>
      <c r="F54" t="s">
        <v>6</v>
      </c>
      <c r="G54" t="s">
        <v>78</v>
      </c>
      <c r="H54" t="s">
        <v>81</v>
      </c>
      <c r="I54" t="s">
        <v>84</v>
      </c>
      <c r="J54" s="53">
        <v>120</v>
      </c>
      <c r="K54" t="s">
        <v>93</v>
      </c>
      <c r="L54" t="s">
        <v>93</v>
      </c>
      <c r="M54" t="s">
        <v>251</v>
      </c>
      <c r="N54" s="53">
        <v>2</v>
      </c>
      <c r="O54" s="53">
        <v>10987</v>
      </c>
      <c r="P54" s="53" t="s">
        <v>12</v>
      </c>
      <c r="Q54" s="54">
        <v>45549</v>
      </c>
      <c r="R54" s="54">
        <v>45594</v>
      </c>
      <c r="S54" s="54">
        <v>45578</v>
      </c>
      <c r="T54" t="s">
        <v>274</v>
      </c>
      <c r="U54" t="s">
        <v>116</v>
      </c>
      <c r="V54" t="s">
        <v>286</v>
      </c>
      <c r="W54" t="s">
        <v>287</v>
      </c>
    </row>
    <row r="55" spans="1:23" x14ac:dyDescent="0.25">
      <c r="A55" s="53">
        <v>1677528</v>
      </c>
      <c r="B55" s="53">
        <v>1270704</v>
      </c>
      <c r="C55" t="s">
        <v>68</v>
      </c>
      <c r="D55" t="s">
        <v>34</v>
      </c>
      <c r="E55" t="s">
        <v>292</v>
      </c>
      <c r="F55" t="s">
        <v>6</v>
      </c>
      <c r="G55" t="s">
        <v>78</v>
      </c>
      <c r="H55" t="s">
        <v>81</v>
      </c>
      <c r="I55" t="s">
        <v>84</v>
      </c>
      <c r="J55" s="53">
        <v>120</v>
      </c>
      <c r="K55" t="s">
        <v>93</v>
      </c>
      <c r="L55" t="s">
        <v>93</v>
      </c>
      <c r="M55" t="s">
        <v>251</v>
      </c>
      <c r="N55" s="53">
        <v>2</v>
      </c>
      <c r="O55" s="53">
        <v>10987</v>
      </c>
      <c r="P55" s="53" t="s">
        <v>12</v>
      </c>
      <c r="Q55" s="54">
        <v>45549</v>
      </c>
      <c r="R55" s="54">
        <v>45594</v>
      </c>
      <c r="S55" s="54">
        <v>45578</v>
      </c>
      <c r="T55" t="s">
        <v>274</v>
      </c>
      <c r="U55" t="s">
        <v>116</v>
      </c>
      <c r="V55" t="s">
        <v>286</v>
      </c>
      <c r="W55" t="s">
        <v>287</v>
      </c>
    </row>
    <row r="56" spans="1:23" x14ac:dyDescent="0.25">
      <c r="A56" s="53">
        <v>1657744</v>
      </c>
      <c r="B56" s="53">
        <v>1265268</v>
      </c>
      <c r="C56" t="s">
        <v>70</v>
      </c>
      <c r="D56" t="s">
        <v>71</v>
      </c>
      <c r="E56" t="s">
        <v>292</v>
      </c>
      <c r="F56" t="s">
        <v>6</v>
      </c>
      <c r="G56" t="s">
        <v>171</v>
      </c>
      <c r="H56" t="s">
        <v>109</v>
      </c>
      <c r="I56" t="s">
        <v>210</v>
      </c>
      <c r="J56" s="53" t="s">
        <v>210</v>
      </c>
      <c r="K56" t="s">
        <v>210</v>
      </c>
      <c r="L56" t="s">
        <v>210</v>
      </c>
      <c r="M56" t="s">
        <v>260</v>
      </c>
      <c r="N56" s="53">
        <v>1</v>
      </c>
      <c r="O56" s="53">
        <v>10319</v>
      </c>
      <c r="P56" s="53" t="s">
        <v>12</v>
      </c>
      <c r="Q56" s="54">
        <v>45549</v>
      </c>
      <c r="R56" s="54">
        <v>45594</v>
      </c>
      <c r="S56" s="54">
        <v>45584</v>
      </c>
      <c r="T56" t="s">
        <v>274</v>
      </c>
      <c r="U56" t="s">
        <v>116</v>
      </c>
      <c r="V56" t="s">
        <v>286</v>
      </c>
      <c r="W56" t="s">
        <v>287</v>
      </c>
    </row>
    <row r="57" spans="1:23" x14ac:dyDescent="0.25">
      <c r="A57" s="53">
        <v>1610613</v>
      </c>
      <c r="B57" s="53">
        <v>1253646</v>
      </c>
      <c r="C57" t="s">
        <v>56</v>
      </c>
      <c r="D57" t="s">
        <v>57</v>
      </c>
      <c r="E57" t="s">
        <v>57</v>
      </c>
      <c r="F57" t="s">
        <v>6</v>
      </c>
      <c r="G57" t="s">
        <v>78</v>
      </c>
      <c r="H57" t="s">
        <v>91</v>
      </c>
      <c r="I57" t="s">
        <v>83</v>
      </c>
      <c r="J57" s="53">
        <v>120</v>
      </c>
      <c r="K57" t="s">
        <v>98</v>
      </c>
      <c r="L57" t="s">
        <v>247</v>
      </c>
      <c r="M57" t="s">
        <v>266</v>
      </c>
      <c r="N57" s="53">
        <v>1</v>
      </c>
      <c r="O57" s="53">
        <v>12999</v>
      </c>
      <c r="P57" s="53" t="s">
        <v>12</v>
      </c>
      <c r="Q57" s="54">
        <v>45549</v>
      </c>
      <c r="R57" s="54">
        <v>45616</v>
      </c>
      <c r="S57" s="54">
        <v>45582</v>
      </c>
      <c r="T57" t="s">
        <v>272</v>
      </c>
      <c r="U57" t="s">
        <v>116</v>
      </c>
      <c r="V57" t="s">
        <v>286</v>
      </c>
      <c r="W57" t="s">
        <v>287</v>
      </c>
    </row>
    <row r="58" spans="1:23" x14ac:dyDescent="0.25">
      <c r="A58" s="53">
        <v>1608468</v>
      </c>
      <c r="B58" s="53">
        <v>1253172</v>
      </c>
      <c r="C58" t="s">
        <v>59</v>
      </c>
      <c r="D58" t="s">
        <v>60</v>
      </c>
      <c r="E58" t="s">
        <v>60</v>
      </c>
      <c r="F58" t="s">
        <v>6</v>
      </c>
      <c r="G58" t="s">
        <v>88</v>
      </c>
      <c r="H58" t="s">
        <v>90</v>
      </c>
      <c r="I58" t="s">
        <v>210</v>
      </c>
      <c r="J58" s="53" t="s">
        <v>210</v>
      </c>
      <c r="K58" t="s">
        <v>94</v>
      </c>
      <c r="L58" t="s">
        <v>247</v>
      </c>
      <c r="M58" t="s">
        <v>271</v>
      </c>
      <c r="N58" s="53">
        <v>4</v>
      </c>
      <c r="O58" s="53">
        <v>21999</v>
      </c>
      <c r="P58" s="53" t="s">
        <v>12</v>
      </c>
      <c r="Q58" s="54">
        <v>45549</v>
      </c>
      <c r="R58" s="54">
        <v>45616</v>
      </c>
      <c r="S58" s="54" t="s">
        <v>210</v>
      </c>
      <c r="T58" t="s">
        <v>114</v>
      </c>
      <c r="U58" t="s">
        <v>114</v>
      </c>
      <c r="V58" t="s">
        <v>290</v>
      </c>
      <c r="W58" t="s">
        <v>289</v>
      </c>
    </row>
    <row r="59" spans="1:23" x14ac:dyDescent="0.25">
      <c r="A59" s="53">
        <v>1654554</v>
      </c>
      <c r="B59" s="53">
        <v>1264469</v>
      </c>
      <c r="C59" t="s">
        <v>65</v>
      </c>
      <c r="D59" t="s">
        <v>235</v>
      </c>
      <c r="E59" t="s">
        <v>292</v>
      </c>
      <c r="F59" t="s">
        <v>6</v>
      </c>
      <c r="G59" t="s">
        <v>78</v>
      </c>
      <c r="H59" t="s">
        <v>91</v>
      </c>
      <c r="I59" t="s">
        <v>80</v>
      </c>
      <c r="J59" s="53">
        <v>100</v>
      </c>
      <c r="K59" t="s">
        <v>98</v>
      </c>
      <c r="L59" t="s">
        <v>210</v>
      </c>
      <c r="M59" t="s">
        <v>255</v>
      </c>
      <c r="N59" s="53">
        <v>1</v>
      </c>
      <c r="O59" s="53">
        <v>12399</v>
      </c>
      <c r="P59" s="53" t="s">
        <v>12</v>
      </c>
      <c r="Q59" s="54">
        <v>45549</v>
      </c>
      <c r="R59" s="54">
        <v>45616</v>
      </c>
      <c r="S59" s="54">
        <v>45566</v>
      </c>
      <c r="T59" t="s">
        <v>272</v>
      </c>
      <c r="U59" t="s">
        <v>116</v>
      </c>
      <c r="V59" t="s">
        <v>286</v>
      </c>
      <c r="W59" t="s">
        <v>287</v>
      </c>
    </row>
    <row r="60" spans="1:23" x14ac:dyDescent="0.25">
      <c r="A60" s="53">
        <v>1644504</v>
      </c>
      <c r="B60" s="53">
        <v>1261644</v>
      </c>
      <c r="C60" t="s">
        <v>69</v>
      </c>
      <c r="D60" t="s">
        <v>34</v>
      </c>
      <c r="E60" t="s">
        <v>292</v>
      </c>
      <c r="F60" t="s">
        <v>6</v>
      </c>
      <c r="G60" t="s">
        <v>88</v>
      </c>
      <c r="H60" t="s">
        <v>90</v>
      </c>
      <c r="I60" t="s">
        <v>210</v>
      </c>
      <c r="J60" s="53" t="s">
        <v>210</v>
      </c>
      <c r="K60" t="s">
        <v>94</v>
      </c>
      <c r="L60" t="s">
        <v>247</v>
      </c>
      <c r="M60" t="s">
        <v>271</v>
      </c>
      <c r="N60" s="53">
        <v>4</v>
      </c>
      <c r="O60" s="53">
        <v>21999</v>
      </c>
      <c r="P60" s="53" t="s">
        <v>12</v>
      </c>
      <c r="Q60" s="54">
        <v>45549</v>
      </c>
      <c r="R60" s="54">
        <v>45616</v>
      </c>
      <c r="S60" s="54">
        <v>45574</v>
      </c>
      <c r="T60" t="s">
        <v>274</v>
      </c>
      <c r="U60" t="s">
        <v>116</v>
      </c>
      <c r="V60" t="s">
        <v>286</v>
      </c>
      <c r="W60" t="s">
        <v>287</v>
      </c>
    </row>
    <row r="61" spans="1:23" x14ac:dyDescent="0.25">
      <c r="A61" s="53">
        <v>1655447</v>
      </c>
      <c r="B61" s="53">
        <v>1264684</v>
      </c>
      <c r="C61" t="s">
        <v>72</v>
      </c>
      <c r="D61" t="s">
        <v>32</v>
      </c>
      <c r="E61" t="s">
        <v>292</v>
      </c>
      <c r="F61" t="s">
        <v>6</v>
      </c>
      <c r="G61" t="s">
        <v>78</v>
      </c>
      <c r="H61" t="s">
        <v>91</v>
      </c>
      <c r="I61" t="s">
        <v>80</v>
      </c>
      <c r="J61" s="53">
        <v>80</v>
      </c>
      <c r="K61" t="s">
        <v>93</v>
      </c>
      <c r="L61" t="s">
        <v>93</v>
      </c>
      <c r="M61" t="s">
        <v>255</v>
      </c>
      <c r="N61" s="53">
        <v>1</v>
      </c>
      <c r="O61" s="53">
        <v>10999</v>
      </c>
      <c r="P61" s="53" t="s">
        <v>12</v>
      </c>
      <c r="Q61" s="54">
        <v>45549</v>
      </c>
      <c r="R61" s="54">
        <v>45616</v>
      </c>
      <c r="S61" s="54">
        <v>45581</v>
      </c>
      <c r="T61" t="s">
        <v>274</v>
      </c>
      <c r="U61" t="s">
        <v>116</v>
      </c>
      <c r="V61" t="s">
        <v>286</v>
      </c>
      <c r="W61" t="s">
        <v>287</v>
      </c>
    </row>
    <row r="62" spans="1:23" x14ac:dyDescent="0.25">
      <c r="A62" s="53">
        <v>1679731</v>
      </c>
      <c r="B62" s="53">
        <v>1271291</v>
      </c>
      <c r="C62" t="s">
        <v>213</v>
      </c>
      <c r="D62" t="s">
        <v>53</v>
      </c>
      <c r="E62" t="s">
        <v>292</v>
      </c>
      <c r="F62" t="s">
        <v>6</v>
      </c>
      <c r="G62" t="s">
        <v>78</v>
      </c>
      <c r="H62" t="s">
        <v>91</v>
      </c>
      <c r="I62" t="s">
        <v>83</v>
      </c>
      <c r="J62" s="53">
        <v>80</v>
      </c>
      <c r="K62" t="s">
        <v>93</v>
      </c>
      <c r="L62" t="s">
        <v>210</v>
      </c>
      <c r="M62" t="s">
        <v>279</v>
      </c>
      <c r="N62" s="53">
        <v>1</v>
      </c>
      <c r="O62" s="53">
        <v>10999</v>
      </c>
      <c r="P62" s="53" t="s">
        <v>12</v>
      </c>
      <c r="Q62" s="54">
        <v>45550</v>
      </c>
      <c r="R62" s="54">
        <v>45616</v>
      </c>
      <c r="S62" s="54">
        <v>45581</v>
      </c>
      <c r="T62" t="s">
        <v>274</v>
      </c>
      <c r="U62" t="s">
        <v>116</v>
      </c>
      <c r="V62" t="s">
        <v>286</v>
      </c>
      <c r="W62" t="s">
        <v>287</v>
      </c>
    </row>
    <row r="63" spans="1:23" x14ac:dyDescent="0.25">
      <c r="A63" s="53">
        <v>1679739</v>
      </c>
      <c r="B63" s="53">
        <v>1271291</v>
      </c>
      <c r="C63" t="s">
        <v>213</v>
      </c>
      <c r="D63" t="s">
        <v>53</v>
      </c>
      <c r="E63" t="s">
        <v>292</v>
      </c>
      <c r="F63" t="s">
        <v>6</v>
      </c>
      <c r="G63" t="s">
        <v>78</v>
      </c>
      <c r="H63" t="s">
        <v>91</v>
      </c>
      <c r="I63" t="s">
        <v>83</v>
      </c>
      <c r="J63" s="53">
        <v>80</v>
      </c>
      <c r="K63" t="s">
        <v>93</v>
      </c>
      <c r="L63" t="s">
        <v>210</v>
      </c>
      <c r="M63" t="s">
        <v>279</v>
      </c>
      <c r="N63" s="53">
        <v>1</v>
      </c>
      <c r="O63" s="53">
        <v>10999</v>
      </c>
      <c r="P63" s="53" t="s">
        <v>12</v>
      </c>
      <c r="Q63" s="54">
        <v>45550</v>
      </c>
      <c r="R63" s="54">
        <v>45616</v>
      </c>
      <c r="S63" s="54">
        <v>45581</v>
      </c>
      <c r="T63" t="s">
        <v>274</v>
      </c>
      <c r="U63" t="s">
        <v>116</v>
      </c>
      <c r="V63" t="s">
        <v>286</v>
      </c>
      <c r="W63" t="s">
        <v>287</v>
      </c>
    </row>
    <row r="64" spans="1:23" x14ac:dyDescent="0.25">
      <c r="A64" s="53">
        <v>1670668</v>
      </c>
      <c r="B64" s="53">
        <v>1268695</v>
      </c>
      <c r="C64" t="s">
        <v>214</v>
      </c>
      <c r="D64" t="s">
        <v>218</v>
      </c>
      <c r="E64" t="s">
        <v>292</v>
      </c>
      <c r="F64" t="s">
        <v>6</v>
      </c>
      <c r="G64" t="s">
        <v>88</v>
      </c>
      <c r="H64" t="s">
        <v>90</v>
      </c>
      <c r="I64" t="s">
        <v>210</v>
      </c>
      <c r="J64" s="53" t="s">
        <v>210</v>
      </c>
      <c r="K64" t="s">
        <v>94</v>
      </c>
      <c r="L64" t="s">
        <v>247</v>
      </c>
      <c r="M64" t="s">
        <v>92</v>
      </c>
      <c r="N64" s="53">
        <v>1</v>
      </c>
      <c r="O64" s="53">
        <v>21999</v>
      </c>
      <c r="P64" s="53" t="s">
        <v>12</v>
      </c>
      <c r="Q64" s="54">
        <v>45550</v>
      </c>
      <c r="R64" s="54">
        <v>45616</v>
      </c>
      <c r="S64" s="54">
        <v>45584</v>
      </c>
      <c r="T64" t="s">
        <v>274</v>
      </c>
      <c r="U64" t="s">
        <v>116</v>
      </c>
      <c r="V64" t="s">
        <v>286</v>
      </c>
      <c r="W64" t="s">
        <v>287</v>
      </c>
    </row>
    <row r="65" spans="1:23" x14ac:dyDescent="0.25">
      <c r="A65" s="53">
        <v>1416625</v>
      </c>
      <c r="B65" s="53">
        <v>1205197</v>
      </c>
      <c r="C65" t="s">
        <v>115</v>
      </c>
      <c r="D65" t="s">
        <v>76</v>
      </c>
      <c r="E65" t="s">
        <v>76</v>
      </c>
      <c r="F65" t="s">
        <v>6</v>
      </c>
      <c r="G65" t="s">
        <v>171</v>
      </c>
      <c r="H65" t="s">
        <v>109</v>
      </c>
      <c r="I65" t="s">
        <v>210</v>
      </c>
      <c r="J65" s="53" t="s">
        <v>210</v>
      </c>
      <c r="K65" t="s">
        <v>210</v>
      </c>
      <c r="L65" t="s">
        <v>210</v>
      </c>
      <c r="M65" t="s">
        <v>277</v>
      </c>
      <c r="N65" s="53">
        <v>1</v>
      </c>
      <c r="O65" s="53">
        <v>7849</v>
      </c>
      <c r="P65" s="53">
        <v>6306</v>
      </c>
      <c r="Q65" s="54">
        <v>45551</v>
      </c>
      <c r="R65" s="54">
        <v>45595</v>
      </c>
      <c r="S65" s="54">
        <v>45610</v>
      </c>
      <c r="T65" t="s">
        <v>272</v>
      </c>
      <c r="U65" t="s">
        <v>116</v>
      </c>
      <c r="V65" t="s">
        <v>290</v>
      </c>
      <c r="W65" t="s">
        <v>287</v>
      </c>
    </row>
    <row r="66" spans="1:23" x14ac:dyDescent="0.25">
      <c r="A66" s="53" t="s">
        <v>210</v>
      </c>
      <c r="B66" s="53" t="s">
        <v>210</v>
      </c>
      <c r="C66" t="s">
        <v>42</v>
      </c>
      <c r="D66" t="s">
        <v>155</v>
      </c>
      <c r="E66" t="s">
        <v>155</v>
      </c>
      <c r="F66" t="s">
        <v>29</v>
      </c>
      <c r="G66" t="s">
        <v>78</v>
      </c>
      <c r="H66" t="s">
        <v>91</v>
      </c>
      <c r="I66" t="s">
        <v>83</v>
      </c>
      <c r="J66" s="53">
        <v>80</v>
      </c>
      <c r="K66" t="s">
        <v>93</v>
      </c>
      <c r="L66" t="s">
        <v>210</v>
      </c>
      <c r="M66" t="s">
        <v>279</v>
      </c>
      <c r="N66" s="53">
        <v>1</v>
      </c>
      <c r="O66" s="53">
        <v>5074</v>
      </c>
      <c r="P66" s="53" t="s">
        <v>43</v>
      </c>
      <c r="Q66" s="54">
        <v>45556</v>
      </c>
      <c r="R66" s="54">
        <v>45570</v>
      </c>
      <c r="S66" s="54">
        <v>45577</v>
      </c>
      <c r="T66" t="s">
        <v>274</v>
      </c>
      <c r="U66" t="s">
        <v>116</v>
      </c>
      <c r="V66" t="s">
        <v>290</v>
      </c>
      <c r="W66" t="s">
        <v>287</v>
      </c>
    </row>
    <row r="67" spans="1:23" x14ac:dyDescent="0.25">
      <c r="A67" s="53">
        <v>2514</v>
      </c>
      <c r="B67" s="53">
        <v>2514</v>
      </c>
      <c r="C67" t="s">
        <v>23</v>
      </c>
      <c r="D67" t="s">
        <v>22</v>
      </c>
      <c r="E67" t="s">
        <v>292</v>
      </c>
      <c r="F67" t="s">
        <v>23</v>
      </c>
      <c r="G67" t="s">
        <v>78</v>
      </c>
      <c r="H67" t="s">
        <v>91</v>
      </c>
      <c r="I67" t="s">
        <v>82</v>
      </c>
      <c r="J67" s="53">
        <v>100</v>
      </c>
      <c r="K67" t="s">
        <v>275</v>
      </c>
      <c r="L67" t="s">
        <v>210</v>
      </c>
      <c r="M67" t="s">
        <v>279</v>
      </c>
      <c r="N67" s="53">
        <v>1</v>
      </c>
      <c r="O67" s="53">
        <v>6250</v>
      </c>
      <c r="P67" s="53" t="s">
        <v>43</v>
      </c>
      <c r="Q67" s="54">
        <v>45558</v>
      </c>
      <c r="R67" s="54">
        <v>45573</v>
      </c>
      <c r="S67" s="54">
        <v>45582</v>
      </c>
      <c r="T67" t="s">
        <v>274</v>
      </c>
      <c r="U67" t="s">
        <v>116</v>
      </c>
      <c r="V67" t="s">
        <v>290</v>
      </c>
      <c r="W67" t="s">
        <v>287</v>
      </c>
    </row>
    <row r="68" spans="1:23" x14ac:dyDescent="0.25">
      <c r="A68" s="53">
        <v>1706794</v>
      </c>
      <c r="B68" s="53">
        <v>1281428</v>
      </c>
      <c r="C68" t="s">
        <v>118</v>
      </c>
      <c r="D68" t="s">
        <v>22</v>
      </c>
      <c r="E68" t="s">
        <v>292</v>
      </c>
      <c r="F68" t="s">
        <v>6</v>
      </c>
      <c r="G68" t="s">
        <v>78</v>
      </c>
      <c r="H68" t="s">
        <v>81</v>
      </c>
      <c r="I68" t="s">
        <v>103</v>
      </c>
      <c r="J68" s="53">
        <v>120</v>
      </c>
      <c r="K68" t="s">
        <v>93</v>
      </c>
      <c r="L68" t="s">
        <v>210</v>
      </c>
      <c r="M68" t="s">
        <v>281</v>
      </c>
      <c r="N68" s="53">
        <v>1</v>
      </c>
      <c r="O68" s="53">
        <v>8943</v>
      </c>
      <c r="P68" s="53">
        <v>9033</v>
      </c>
      <c r="Q68" s="54">
        <v>45561</v>
      </c>
      <c r="R68" s="54">
        <v>45606</v>
      </c>
      <c r="S68" s="54">
        <v>45575</v>
      </c>
      <c r="T68" t="s">
        <v>274</v>
      </c>
      <c r="U68" t="s">
        <v>116</v>
      </c>
      <c r="V68" t="s">
        <v>286</v>
      </c>
      <c r="W68" t="s">
        <v>287</v>
      </c>
    </row>
    <row r="69" spans="1:23" x14ac:dyDescent="0.25">
      <c r="A69" s="53">
        <v>1704621</v>
      </c>
      <c r="B69" s="53">
        <v>1280197</v>
      </c>
      <c r="C69" t="s">
        <v>119</v>
      </c>
      <c r="D69" t="s">
        <v>229</v>
      </c>
      <c r="E69" t="s">
        <v>222</v>
      </c>
      <c r="F69" t="s">
        <v>6</v>
      </c>
      <c r="G69" t="s">
        <v>171</v>
      </c>
      <c r="H69" t="s">
        <v>111</v>
      </c>
      <c r="I69" t="s">
        <v>210</v>
      </c>
      <c r="J69" s="53" t="s">
        <v>210</v>
      </c>
      <c r="K69" t="s">
        <v>210</v>
      </c>
      <c r="L69" t="s">
        <v>210</v>
      </c>
      <c r="M69" t="s">
        <v>280</v>
      </c>
      <c r="N69" s="53">
        <v>1</v>
      </c>
      <c r="O69" s="53">
        <v>8349</v>
      </c>
      <c r="P69" s="53">
        <v>8433</v>
      </c>
      <c r="Q69" s="54">
        <v>45561</v>
      </c>
      <c r="R69" s="54">
        <v>45606</v>
      </c>
      <c r="S69" s="54" t="s">
        <v>210</v>
      </c>
      <c r="T69" t="s">
        <v>114</v>
      </c>
      <c r="U69" t="s">
        <v>114</v>
      </c>
      <c r="V69" t="s">
        <v>290</v>
      </c>
      <c r="W69" t="s">
        <v>289</v>
      </c>
    </row>
    <row r="70" spans="1:23" x14ac:dyDescent="0.25">
      <c r="A70" s="53">
        <v>240078066</v>
      </c>
      <c r="B70" s="53" t="s">
        <v>210</v>
      </c>
      <c r="C70" t="s">
        <v>27</v>
      </c>
      <c r="D70" t="s">
        <v>227</v>
      </c>
      <c r="E70" t="s">
        <v>292</v>
      </c>
      <c r="F70" t="s">
        <v>27</v>
      </c>
      <c r="G70" t="s">
        <v>88</v>
      </c>
      <c r="H70" t="s">
        <v>90</v>
      </c>
      <c r="I70" t="s">
        <v>210</v>
      </c>
      <c r="J70" s="53" t="s">
        <v>210</v>
      </c>
      <c r="K70" t="s">
        <v>210</v>
      </c>
      <c r="L70" t="s">
        <v>131</v>
      </c>
      <c r="M70" t="s">
        <v>92</v>
      </c>
      <c r="N70" s="53">
        <v>1</v>
      </c>
      <c r="O70" s="53">
        <v>14950</v>
      </c>
      <c r="P70" s="53" t="s">
        <v>12</v>
      </c>
      <c r="Q70" s="54">
        <v>45561</v>
      </c>
      <c r="R70" s="54">
        <v>45579</v>
      </c>
      <c r="S70" s="54">
        <v>45578</v>
      </c>
      <c r="T70" t="s">
        <v>274</v>
      </c>
      <c r="U70" t="s">
        <v>116</v>
      </c>
      <c r="V70" t="s">
        <v>286</v>
      </c>
      <c r="W70" t="s">
        <v>287</v>
      </c>
    </row>
    <row r="71" spans="1:23" x14ac:dyDescent="0.25">
      <c r="A71" s="53">
        <v>240077789</v>
      </c>
      <c r="B71" s="53" t="s">
        <v>210</v>
      </c>
      <c r="C71" t="s">
        <v>27</v>
      </c>
      <c r="D71" t="s">
        <v>210</v>
      </c>
      <c r="E71" t="s">
        <v>210</v>
      </c>
      <c r="F71" t="s">
        <v>27</v>
      </c>
      <c r="G71" t="s">
        <v>78</v>
      </c>
      <c r="H71" t="s">
        <v>91</v>
      </c>
      <c r="I71" t="s">
        <v>82</v>
      </c>
      <c r="J71" s="53">
        <v>100</v>
      </c>
      <c r="K71" t="s">
        <v>94</v>
      </c>
      <c r="L71" t="s">
        <v>210</v>
      </c>
      <c r="M71" t="s">
        <v>279</v>
      </c>
      <c r="N71" s="53">
        <v>1</v>
      </c>
      <c r="O71" s="53">
        <v>9208</v>
      </c>
      <c r="P71" s="53">
        <v>9608</v>
      </c>
      <c r="Q71" s="54">
        <v>45561</v>
      </c>
      <c r="R71" s="54">
        <v>45579</v>
      </c>
      <c r="S71" s="54" t="s">
        <v>210</v>
      </c>
      <c r="T71" t="s">
        <v>114</v>
      </c>
      <c r="U71" t="s">
        <v>114</v>
      </c>
      <c r="V71" t="s">
        <v>290</v>
      </c>
      <c r="W71" t="s">
        <v>289</v>
      </c>
    </row>
    <row r="72" spans="1:23" x14ac:dyDescent="0.25">
      <c r="A72" s="53">
        <v>240078390</v>
      </c>
      <c r="B72" s="53" t="s">
        <v>210</v>
      </c>
      <c r="C72" t="s">
        <v>27</v>
      </c>
      <c r="D72" t="s">
        <v>210</v>
      </c>
      <c r="E72" t="s">
        <v>210</v>
      </c>
      <c r="F72" t="s">
        <v>27</v>
      </c>
      <c r="G72" t="s">
        <v>78</v>
      </c>
      <c r="H72" t="s">
        <v>81</v>
      </c>
      <c r="I72" t="s">
        <v>84</v>
      </c>
      <c r="J72" s="53">
        <v>120</v>
      </c>
      <c r="K72" t="s">
        <v>93</v>
      </c>
      <c r="L72" t="s">
        <v>210</v>
      </c>
      <c r="M72" t="s">
        <v>281</v>
      </c>
      <c r="N72" s="53">
        <v>1</v>
      </c>
      <c r="O72" s="53">
        <v>7433</v>
      </c>
      <c r="P72" s="53" t="s">
        <v>12</v>
      </c>
      <c r="Q72" s="54">
        <v>45564</v>
      </c>
      <c r="R72" s="54">
        <v>45585</v>
      </c>
      <c r="S72" s="54">
        <v>45586</v>
      </c>
      <c r="T72" t="s">
        <v>274</v>
      </c>
      <c r="U72" t="s">
        <v>116</v>
      </c>
      <c r="V72" t="s">
        <v>290</v>
      </c>
      <c r="W72" t="s">
        <v>287</v>
      </c>
    </row>
    <row r="73" spans="1:23" x14ac:dyDescent="0.25">
      <c r="A73" s="53" t="s">
        <v>210</v>
      </c>
      <c r="B73" s="53" t="s">
        <v>210</v>
      </c>
      <c r="C73" t="s">
        <v>42</v>
      </c>
      <c r="D73" t="s">
        <v>155</v>
      </c>
      <c r="E73" t="s">
        <v>155</v>
      </c>
      <c r="F73" t="s">
        <v>29</v>
      </c>
      <c r="G73" t="s">
        <v>78</v>
      </c>
      <c r="H73" t="s">
        <v>81</v>
      </c>
      <c r="I73" t="s">
        <v>103</v>
      </c>
      <c r="J73" s="53">
        <v>120</v>
      </c>
      <c r="K73" t="s">
        <v>93</v>
      </c>
      <c r="L73" t="s">
        <v>210</v>
      </c>
      <c r="M73" t="s">
        <v>281</v>
      </c>
      <c r="N73" s="53">
        <v>1</v>
      </c>
      <c r="O73" s="53">
        <v>4020</v>
      </c>
      <c r="P73" s="53" t="s">
        <v>43</v>
      </c>
      <c r="Q73" s="54">
        <v>45564</v>
      </c>
      <c r="R73" s="54">
        <v>45577</v>
      </c>
      <c r="S73" s="54">
        <v>45577</v>
      </c>
      <c r="T73" t="s">
        <v>274</v>
      </c>
      <c r="U73" t="s">
        <v>116</v>
      </c>
      <c r="V73" t="s">
        <v>288</v>
      </c>
      <c r="W73" t="s">
        <v>287</v>
      </c>
    </row>
    <row r="74" spans="1:23" x14ac:dyDescent="0.25">
      <c r="A74" s="53" t="s">
        <v>210</v>
      </c>
      <c r="B74" s="53" t="s">
        <v>210</v>
      </c>
      <c r="C74" t="s">
        <v>122</v>
      </c>
      <c r="D74" t="s">
        <v>123</v>
      </c>
      <c r="E74" t="s">
        <v>123</v>
      </c>
      <c r="F74" t="s">
        <v>124</v>
      </c>
      <c r="G74" t="s">
        <v>78</v>
      </c>
      <c r="H74" t="s">
        <v>91</v>
      </c>
      <c r="I74" t="s">
        <v>125</v>
      </c>
      <c r="J74" s="53">
        <v>100</v>
      </c>
      <c r="K74" t="s">
        <v>126</v>
      </c>
      <c r="L74" t="s">
        <v>210</v>
      </c>
      <c r="M74" t="s">
        <v>279</v>
      </c>
      <c r="N74" s="53">
        <v>1</v>
      </c>
      <c r="O74" s="53">
        <v>8544.9054400000005</v>
      </c>
      <c r="P74" s="53" t="s">
        <v>210</v>
      </c>
      <c r="Q74" s="54">
        <v>45566</v>
      </c>
      <c r="R74" s="54">
        <v>45574</v>
      </c>
      <c r="S74" s="54">
        <v>45574</v>
      </c>
      <c r="T74" t="s">
        <v>273</v>
      </c>
      <c r="U74" t="s">
        <v>116</v>
      </c>
      <c r="V74" t="s">
        <v>288</v>
      </c>
      <c r="W74" t="s">
        <v>287</v>
      </c>
    </row>
    <row r="75" spans="1:23" x14ac:dyDescent="0.25">
      <c r="A75" s="53" t="s">
        <v>210</v>
      </c>
      <c r="B75" s="53" t="s">
        <v>210</v>
      </c>
      <c r="C75" t="s">
        <v>122</v>
      </c>
      <c r="D75" t="s">
        <v>123</v>
      </c>
      <c r="E75" t="s">
        <v>123</v>
      </c>
      <c r="F75" t="s">
        <v>124</v>
      </c>
      <c r="G75" t="s">
        <v>78</v>
      </c>
      <c r="H75" t="s">
        <v>79</v>
      </c>
      <c r="I75" t="s">
        <v>210</v>
      </c>
      <c r="J75" s="53" t="s">
        <v>210</v>
      </c>
      <c r="K75" t="s">
        <v>94</v>
      </c>
      <c r="L75" t="s">
        <v>129</v>
      </c>
      <c r="M75" t="s">
        <v>256</v>
      </c>
      <c r="N75" s="53">
        <v>1</v>
      </c>
      <c r="O75" s="53">
        <v>4600</v>
      </c>
      <c r="P75" s="53" t="s">
        <v>210</v>
      </c>
      <c r="Q75" s="54">
        <v>45566</v>
      </c>
      <c r="R75" s="54">
        <v>45574</v>
      </c>
      <c r="S75" s="54">
        <v>45574</v>
      </c>
      <c r="T75" t="s">
        <v>273</v>
      </c>
      <c r="U75" t="s">
        <v>116</v>
      </c>
      <c r="V75" t="s">
        <v>288</v>
      </c>
      <c r="W75" t="s">
        <v>287</v>
      </c>
    </row>
    <row r="76" spans="1:23" x14ac:dyDescent="0.25">
      <c r="A76" s="53" t="s">
        <v>210</v>
      </c>
      <c r="B76" s="53" t="s">
        <v>210</v>
      </c>
      <c r="C76" t="s">
        <v>122</v>
      </c>
      <c r="D76" t="s">
        <v>123</v>
      </c>
      <c r="E76" t="s">
        <v>123</v>
      </c>
      <c r="F76" t="s">
        <v>124</v>
      </c>
      <c r="G76" t="s">
        <v>88</v>
      </c>
      <c r="H76" t="s">
        <v>127</v>
      </c>
      <c r="I76" t="s">
        <v>210</v>
      </c>
      <c r="J76" s="53" t="s">
        <v>210</v>
      </c>
      <c r="K76" t="s">
        <v>94</v>
      </c>
      <c r="L76" t="s">
        <v>128</v>
      </c>
      <c r="M76" t="s">
        <v>282</v>
      </c>
      <c r="N76" s="53">
        <v>1</v>
      </c>
      <c r="O76" s="53">
        <v>10000</v>
      </c>
      <c r="P76" s="53" t="s">
        <v>210</v>
      </c>
      <c r="Q76" s="54">
        <v>45566</v>
      </c>
      <c r="R76" s="54">
        <v>45574</v>
      </c>
      <c r="S76" s="54">
        <v>45574</v>
      </c>
      <c r="T76" t="s">
        <v>273</v>
      </c>
      <c r="U76" t="s">
        <v>116</v>
      </c>
      <c r="V76" t="s">
        <v>288</v>
      </c>
      <c r="W76" t="s">
        <v>287</v>
      </c>
    </row>
    <row r="77" spans="1:23" x14ac:dyDescent="0.25">
      <c r="A77" s="53" t="s">
        <v>210</v>
      </c>
      <c r="B77" s="53" t="s">
        <v>210</v>
      </c>
      <c r="C77" t="s">
        <v>122</v>
      </c>
      <c r="D77" t="s">
        <v>123</v>
      </c>
      <c r="E77" t="s">
        <v>123</v>
      </c>
      <c r="F77" t="s">
        <v>124</v>
      </c>
      <c r="G77" t="s">
        <v>130</v>
      </c>
      <c r="H77" t="s">
        <v>130</v>
      </c>
      <c r="I77" t="s">
        <v>210</v>
      </c>
      <c r="J77" s="53" t="s">
        <v>210</v>
      </c>
      <c r="K77" t="s">
        <v>94</v>
      </c>
      <c r="L77" t="s">
        <v>131</v>
      </c>
      <c r="M77" t="s">
        <v>130</v>
      </c>
      <c r="N77" s="53">
        <v>1</v>
      </c>
      <c r="O77" s="53" t="s">
        <v>210</v>
      </c>
      <c r="P77" s="53" t="s">
        <v>210</v>
      </c>
      <c r="Q77" s="54">
        <v>45566</v>
      </c>
      <c r="R77" s="54">
        <v>45574</v>
      </c>
      <c r="S77" s="54">
        <v>45574</v>
      </c>
      <c r="T77" t="s">
        <v>273</v>
      </c>
      <c r="U77" t="s">
        <v>116</v>
      </c>
      <c r="V77" t="s">
        <v>288</v>
      </c>
      <c r="W77" t="s">
        <v>287</v>
      </c>
    </row>
    <row r="78" spans="1:23" x14ac:dyDescent="0.25">
      <c r="A78" s="53">
        <v>1282228</v>
      </c>
      <c r="B78" s="53">
        <v>1708226</v>
      </c>
      <c r="C78" t="s">
        <v>132</v>
      </c>
      <c r="D78" t="s">
        <v>133</v>
      </c>
      <c r="E78" t="s">
        <v>292</v>
      </c>
      <c r="F78" t="s">
        <v>6</v>
      </c>
      <c r="G78" t="s">
        <v>78</v>
      </c>
      <c r="H78" t="s">
        <v>79</v>
      </c>
      <c r="I78" t="s">
        <v>210</v>
      </c>
      <c r="J78" s="53" t="s">
        <v>210</v>
      </c>
      <c r="K78" t="s">
        <v>94</v>
      </c>
      <c r="L78" t="s">
        <v>94</v>
      </c>
      <c r="M78" t="s">
        <v>256</v>
      </c>
      <c r="N78" s="53">
        <v>1</v>
      </c>
      <c r="O78" s="53">
        <v>8899</v>
      </c>
      <c r="P78" s="53">
        <v>8988</v>
      </c>
      <c r="Q78" s="54">
        <v>45568</v>
      </c>
      <c r="R78" s="54">
        <v>45613</v>
      </c>
      <c r="S78" s="54" t="s">
        <v>210</v>
      </c>
      <c r="T78" t="s">
        <v>210</v>
      </c>
      <c r="U78" t="s">
        <v>210</v>
      </c>
      <c r="V78" t="s">
        <v>290</v>
      </c>
      <c r="W78" t="s">
        <v>289</v>
      </c>
    </row>
    <row r="79" spans="1:23" x14ac:dyDescent="0.25">
      <c r="A79" s="53">
        <v>240079328</v>
      </c>
      <c r="B79" s="53" t="s">
        <v>210</v>
      </c>
      <c r="C79" t="s">
        <v>27</v>
      </c>
      <c r="D79" t="s">
        <v>316</v>
      </c>
      <c r="E79" t="s">
        <v>241</v>
      </c>
      <c r="F79" t="s">
        <v>27</v>
      </c>
      <c r="G79" t="s">
        <v>88</v>
      </c>
      <c r="H79" t="s">
        <v>90</v>
      </c>
      <c r="I79" t="s">
        <v>210</v>
      </c>
      <c r="J79" s="53" t="s">
        <v>210</v>
      </c>
      <c r="K79" t="s">
        <v>94</v>
      </c>
      <c r="L79" t="s">
        <v>147</v>
      </c>
      <c r="M79" t="s">
        <v>92</v>
      </c>
      <c r="N79" s="53">
        <v>1</v>
      </c>
      <c r="O79" s="53">
        <v>14550</v>
      </c>
      <c r="P79" s="53" t="s">
        <v>12</v>
      </c>
      <c r="Q79" s="54">
        <v>45573</v>
      </c>
      <c r="R79" s="54">
        <v>45594</v>
      </c>
      <c r="S79" s="54">
        <v>45595</v>
      </c>
      <c r="T79" t="s">
        <v>274</v>
      </c>
      <c r="U79" t="s">
        <v>116</v>
      </c>
      <c r="V79" t="s">
        <v>290</v>
      </c>
      <c r="W79" t="s">
        <v>287</v>
      </c>
    </row>
    <row r="80" spans="1:23" x14ac:dyDescent="0.25">
      <c r="A80" s="53">
        <v>240078933</v>
      </c>
      <c r="B80" s="53" t="s">
        <v>210</v>
      </c>
      <c r="C80" t="s">
        <v>27</v>
      </c>
      <c r="D80" t="s">
        <v>229</v>
      </c>
      <c r="E80" t="s">
        <v>222</v>
      </c>
      <c r="F80" t="s">
        <v>27</v>
      </c>
      <c r="G80" t="s">
        <v>88</v>
      </c>
      <c r="H80" t="s">
        <v>90</v>
      </c>
      <c r="I80" t="s">
        <v>210</v>
      </c>
      <c r="J80" s="53" t="s">
        <v>210</v>
      </c>
      <c r="K80" t="s">
        <v>94</v>
      </c>
      <c r="L80" t="s">
        <v>147</v>
      </c>
      <c r="M80" t="s">
        <v>92</v>
      </c>
      <c r="N80" s="53">
        <v>1</v>
      </c>
      <c r="O80" s="53">
        <v>14550</v>
      </c>
      <c r="P80" s="53" t="s">
        <v>12</v>
      </c>
      <c r="Q80" s="54">
        <v>45572</v>
      </c>
      <c r="R80" s="54">
        <v>45594</v>
      </c>
      <c r="S80" s="54">
        <v>45580</v>
      </c>
      <c r="T80" t="s">
        <v>274</v>
      </c>
      <c r="U80" t="s">
        <v>116</v>
      </c>
      <c r="V80" t="s">
        <v>286</v>
      </c>
      <c r="W80" t="s">
        <v>287</v>
      </c>
    </row>
    <row r="81" spans="1:23" x14ac:dyDescent="0.25">
      <c r="A81" s="53">
        <v>240079517</v>
      </c>
      <c r="B81" s="53" t="s">
        <v>210</v>
      </c>
      <c r="C81" t="s">
        <v>27</v>
      </c>
      <c r="D81" t="s">
        <v>210</v>
      </c>
      <c r="E81" t="s">
        <v>210</v>
      </c>
      <c r="F81" t="s">
        <v>27</v>
      </c>
      <c r="G81" t="s">
        <v>88</v>
      </c>
      <c r="H81" t="s">
        <v>90</v>
      </c>
      <c r="I81" t="s">
        <v>210</v>
      </c>
      <c r="J81" s="53" t="s">
        <v>210</v>
      </c>
      <c r="K81" t="s">
        <v>94</v>
      </c>
      <c r="L81" t="s">
        <v>131</v>
      </c>
      <c r="M81" t="s">
        <v>92</v>
      </c>
      <c r="N81" s="53">
        <v>1</v>
      </c>
      <c r="O81" s="53">
        <v>14550</v>
      </c>
      <c r="P81" s="53">
        <v>11495</v>
      </c>
      <c r="Q81" s="54">
        <v>45575</v>
      </c>
      <c r="R81" s="54">
        <v>45596</v>
      </c>
      <c r="S81" s="54">
        <v>45598</v>
      </c>
      <c r="T81" t="s">
        <v>274</v>
      </c>
      <c r="U81" t="s">
        <v>116</v>
      </c>
      <c r="V81" t="s">
        <v>290</v>
      </c>
      <c r="W81" t="s">
        <v>287</v>
      </c>
    </row>
    <row r="82" spans="1:23" x14ac:dyDescent="0.25">
      <c r="A82" s="53">
        <v>1714623</v>
      </c>
      <c r="B82" s="53">
        <v>1284697</v>
      </c>
      <c r="C82" t="s">
        <v>215</v>
      </c>
      <c r="D82" t="s">
        <v>34</v>
      </c>
      <c r="E82" t="s">
        <v>292</v>
      </c>
      <c r="F82" t="s">
        <v>6</v>
      </c>
      <c r="G82" t="s">
        <v>78</v>
      </c>
      <c r="H82" t="s">
        <v>91</v>
      </c>
      <c r="I82" t="s">
        <v>80</v>
      </c>
      <c r="J82" s="53" t="s">
        <v>245</v>
      </c>
      <c r="K82" t="s">
        <v>137</v>
      </c>
      <c r="L82" t="s">
        <v>210</v>
      </c>
      <c r="M82" t="s">
        <v>279</v>
      </c>
      <c r="N82" s="53">
        <v>1</v>
      </c>
      <c r="O82" s="53">
        <v>12899</v>
      </c>
      <c r="P82" s="53">
        <v>13028</v>
      </c>
      <c r="Q82" s="54">
        <v>45578</v>
      </c>
      <c r="R82" s="54">
        <v>45643</v>
      </c>
      <c r="S82" s="54">
        <v>45598</v>
      </c>
      <c r="T82" t="s">
        <v>274</v>
      </c>
      <c r="U82" t="s">
        <v>116</v>
      </c>
      <c r="V82" t="s">
        <v>286</v>
      </c>
      <c r="W82" t="s">
        <v>287</v>
      </c>
    </row>
    <row r="83" spans="1:23" x14ac:dyDescent="0.25">
      <c r="A83" s="53">
        <v>1715473</v>
      </c>
      <c r="B83" s="53">
        <v>1285152</v>
      </c>
      <c r="C83" t="s">
        <v>55</v>
      </c>
      <c r="D83" t="s">
        <v>26</v>
      </c>
      <c r="E83" t="s">
        <v>292</v>
      </c>
      <c r="F83" t="s">
        <v>6</v>
      </c>
      <c r="G83" t="s">
        <v>78</v>
      </c>
      <c r="H83" t="s">
        <v>91</v>
      </c>
      <c r="I83" t="s">
        <v>83</v>
      </c>
      <c r="J83" s="53">
        <v>80</v>
      </c>
      <c r="K83" t="s">
        <v>93</v>
      </c>
      <c r="L83" t="s">
        <v>210</v>
      </c>
      <c r="M83" t="s">
        <v>279</v>
      </c>
      <c r="N83" s="53">
        <v>1</v>
      </c>
      <c r="O83" s="53">
        <v>10499</v>
      </c>
      <c r="P83" s="53" t="s">
        <v>12</v>
      </c>
      <c r="Q83" s="54">
        <v>45581</v>
      </c>
      <c r="R83" s="54">
        <v>45645</v>
      </c>
      <c r="S83" s="54">
        <v>45586</v>
      </c>
      <c r="T83" t="s">
        <v>274</v>
      </c>
      <c r="U83" t="s">
        <v>116</v>
      </c>
      <c r="V83" t="s">
        <v>286</v>
      </c>
      <c r="W83" t="s">
        <v>287</v>
      </c>
    </row>
    <row r="84" spans="1:23" x14ac:dyDescent="0.25">
      <c r="A84" s="53">
        <v>1715992</v>
      </c>
      <c r="B84" s="53">
        <v>1285423</v>
      </c>
      <c r="C84" t="s">
        <v>216</v>
      </c>
      <c r="D84" t="s">
        <v>242</v>
      </c>
      <c r="E84" t="s">
        <v>224</v>
      </c>
      <c r="F84" t="s">
        <v>6</v>
      </c>
      <c r="G84" t="s">
        <v>78</v>
      </c>
      <c r="H84" t="s">
        <v>91</v>
      </c>
      <c r="I84" t="s">
        <v>80</v>
      </c>
      <c r="J84" s="53" t="s">
        <v>245</v>
      </c>
      <c r="K84" t="s">
        <v>137</v>
      </c>
      <c r="L84" t="s">
        <v>210</v>
      </c>
      <c r="M84" t="s">
        <v>279</v>
      </c>
      <c r="N84" s="53">
        <v>1</v>
      </c>
      <c r="O84" s="53">
        <v>12899</v>
      </c>
      <c r="P84" s="53" t="s">
        <v>12</v>
      </c>
      <c r="Q84" s="54">
        <v>45582</v>
      </c>
      <c r="R84" s="54">
        <v>45648</v>
      </c>
      <c r="S84" s="54">
        <v>45629</v>
      </c>
      <c r="T84" t="s">
        <v>272</v>
      </c>
      <c r="U84" t="s">
        <v>116</v>
      </c>
      <c r="V84" t="s">
        <v>286</v>
      </c>
      <c r="W84" t="s">
        <v>287</v>
      </c>
    </row>
    <row r="85" spans="1:23" x14ac:dyDescent="0.25">
      <c r="A85" s="53">
        <v>3163</v>
      </c>
      <c r="B85" s="53" t="s">
        <v>210</v>
      </c>
      <c r="C85" t="s">
        <v>138</v>
      </c>
      <c r="D85" t="s">
        <v>219</v>
      </c>
      <c r="E85" t="s">
        <v>219</v>
      </c>
      <c r="F85" t="s">
        <v>149</v>
      </c>
      <c r="G85" t="s">
        <v>78</v>
      </c>
      <c r="H85" t="s">
        <v>81</v>
      </c>
      <c r="I85" t="s">
        <v>140</v>
      </c>
      <c r="J85" s="53">
        <v>140</v>
      </c>
      <c r="K85" t="s">
        <v>131</v>
      </c>
      <c r="L85" t="s">
        <v>141</v>
      </c>
      <c r="M85" t="s">
        <v>281</v>
      </c>
      <c r="N85" s="53">
        <v>1</v>
      </c>
      <c r="O85" s="53">
        <v>5135</v>
      </c>
      <c r="P85" s="53" t="s">
        <v>12</v>
      </c>
      <c r="Q85" s="54">
        <v>45585</v>
      </c>
      <c r="R85" s="54">
        <v>45613</v>
      </c>
      <c r="S85" s="54">
        <v>45610</v>
      </c>
      <c r="T85" t="s">
        <v>274</v>
      </c>
      <c r="U85" t="s">
        <v>116</v>
      </c>
      <c r="V85" t="s">
        <v>286</v>
      </c>
      <c r="W85" t="s">
        <v>287</v>
      </c>
    </row>
    <row r="86" spans="1:23" x14ac:dyDescent="0.25">
      <c r="A86" s="53">
        <v>240080607</v>
      </c>
      <c r="B86" s="53" t="s">
        <v>210</v>
      </c>
      <c r="C86" t="s">
        <v>27</v>
      </c>
      <c r="D86" t="s">
        <v>229</v>
      </c>
      <c r="E86" t="s">
        <v>222</v>
      </c>
      <c r="F86" t="s">
        <v>27</v>
      </c>
      <c r="G86" t="s">
        <v>78</v>
      </c>
      <c r="H86" t="s">
        <v>91</v>
      </c>
      <c r="I86" t="s">
        <v>125</v>
      </c>
      <c r="J86" s="53">
        <v>100</v>
      </c>
      <c r="K86" t="s">
        <v>142</v>
      </c>
      <c r="L86" t="s">
        <v>210</v>
      </c>
      <c r="M86" t="s">
        <v>279</v>
      </c>
      <c r="N86" s="53">
        <v>1</v>
      </c>
      <c r="O86" s="53">
        <v>12777.5</v>
      </c>
      <c r="P86" s="53">
        <v>11277.5</v>
      </c>
      <c r="Q86" s="54">
        <v>45587</v>
      </c>
      <c r="R86" s="54">
        <v>45608</v>
      </c>
      <c r="S86" s="54">
        <v>45614</v>
      </c>
      <c r="T86" t="s">
        <v>274</v>
      </c>
      <c r="U86" t="s">
        <v>116</v>
      </c>
      <c r="V86" t="s">
        <v>290</v>
      </c>
      <c r="W86" t="s">
        <v>287</v>
      </c>
    </row>
    <row r="87" spans="1:23" x14ac:dyDescent="0.25">
      <c r="A87" s="53" t="s">
        <v>210</v>
      </c>
      <c r="B87" s="53" t="s">
        <v>210</v>
      </c>
      <c r="C87" t="s">
        <v>42</v>
      </c>
      <c r="D87" t="s">
        <v>220</v>
      </c>
      <c r="E87" t="s">
        <v>292</v>
      </c>
      <c r="F87" t="s">
        <v>29</v>
      </c>
      <c r="G87" t="s">
        <v>78</v>
      </c>
      <c r="H87" t="s">
        <v>91</v>
      </c>
      <c r="I87" t="s">
        <v>125</v>
      </c>
      <c r="J87" s="53">
        <v>100</v>
      </c>
      <c r="K87" t="s">
        <v>142</v>
      </c>
      <c r="L87" t="s">
        <v>210</v>
      </c>
      <c r="M87" t="s">
        <v>279</v>
      </c>
      <c r="N87" s="53">
        <v>1</v>
      </c>
      <c r="O87" s="53">
        <v>8544.91</v>
      </c>
      <c r="P87" s="53" t="s">
        <v>43</v>
      </c>
      <c r="Q87" s="54">
        <v>45587</v>
      </c>
      <c r="R87" s="54" t="s">
        <v>210</v>
      </c>
      <c r="S87" s="54" t="s">
        <v>210</v>
      </c>
      <c r="T87" t="s">
        <v>194</v>
      </c>
      <c r="U87" t="s">
        <v>157</v>
      </c>
      <c r="V87" t="s">
        <v>288</v>
      </c>
      <c r="W87" t="s">
        <v>289</v>
      </c>
    </row>
    <row r="88" spans="1:23" x14ac:dyDescent="0.25">
      <c r="A88" s="53">
        <v>1717458</v>
      </c>
      <c r="B88" s="53">
        <v>1286189</v>
      </c>
      <c r="C88" t="s">
        <v>143</v>
      </c>
      <c r="D88" t="s">
        <v>229</v>
      </c>
      <c r="E88" t="s">
        <v>222</v>
      </c>
      <c r="F88" t="s">
        <v>6</v>
      </c>
      <c r="G88" t="s">
        <v>78</v>
      </c>
      <c r="H88" t="s">
        <v>81</v>
      </c>
      <c r="I88" t="s">
        <v>103</v>
      </c>
      <c r="J88" s="53">
        <v>120</v>
      </c>
      <c r="K88" t="s">
        <v>93</v>
      </c>
      <c r="L88" t="s">
        <v>210</v>
      </c>
      <c r="M88" t="s">
        <v>281</v>
      </c>
      <c r="N88" s="53">
        <v>1</v>
      </c>
      <c r="O88" s="53">
        <v>8943</v>
      </c>
      <c r="P88" s="53">
        <v>9007.01</v>
      </c>
      <c r="Q88" s="54">
        <v>45586</v>
      </c>
      <c r="R88" s="54">
        <v>45610</v>
      </c>
      <c r="S88" s="54">
        <v>45614</v>
      </c>
      <c r="T88" t="s">
        <v>274</v>
      </c>
      <c r="U88" t="s">
        <v>116</v>
      </c>
      <c r="V88" t="s">
        <v>290</v>
      </c>
      <c r="W88" t="s">
        <v>287</v>
      </c>
    </row>
    <row r="89" spans="1:23" x14ac:dyDescent="0.25">
      <c r="A89" s="53">
        <v>240080858</v>
      </c>
      <c r="B89" s="53" t="s">
        <v>210</v>
      </c>
      <c r="C89" t="s">
        <v>27</v>
      </c>
      <c r="D89" t="s">
        <v>210</v>
      </c>
      <c r="E89" t="s">
        <v>210</v>
      </c>
      <c r="F89" t="s">
        <v>27</v>
      </c>
      <c r="G89" t="s">
        <v>88</v>
      </c>
      <c r="H89" t="s">
        <v>90</v>
      </c>
      <c r="I89" t="s">
        <v>210</v>
      </c>
      <c r="J89" s="53" t="s">
        <v>210</v>
      </c>
      <c r="K89" t="s">
        <v>94</v>
      </c>
      <c r="L89" t="s">
        <v>210</v>
      </c>
      <c r="M89" t="s">
        <v>92</v>
      </c>
      <c r="N89" s="53">
        <v>1</v>
      </c>
      <c r="O89" s="53">
        <v>15516</v>
      </c>
      <c r="P89" s="53" t="s">
        <v>12</v>
      </c>
      <c r="Q89" s="54">
        <v>45589</v>
      </c>
      <c r="R89" s="54">
        <v>45610</v>
      </c>
      <c r="S89" s="54">
        <v>45595</v>
      </c>
      <c r="T89" t="s">
        <v>274</v>
      </c>
      <c r="U89" t="s">
        <v>116</v>
      </c>
      <c r="V89" t="s">
        <v>286</v>
      </c>
      <c r="W89" t="s">
        <v>287</v>
      </c>
    </row>
    <row r="90" spans="1:23" x14ac:dyDescent="0.25">
      <c r="A90" s="53">
        <v>240081061</v>
      </c>
      <c r="B90" s="53" t="s">
        <v>210</v>
      </c>
      <c r="C90" t="s">
        <v>27</v>
      </c>
      <c r="D90" t="s">
        <v>210</v>
      </c>
      <c r="E90" t="s">
        <v>210</v>
      </c>
      <c r="F90" t="s">
        <v>27</v>
      </c>
      <c r="G90" t="s">
        <v>78</v>
      </c>
      <c r="H90" t="s">
        <v>91</v>
      </c>
      <c r="I90" t="s">
        <v>82</v>
      </c>
      <c r="J90" s="53">
        <v>100</v>
      </c>
      <c r="K90" t="s">
        <v>94</v>
      </c>
      <c r="L90" t="s">
        <v>210</v>
      </c>
      <c r="M90" t="s">
        <v>279</v>
      </c>
      <c r="N90" s="53">
        <v>1</v>
      </c>
      <c r="O90" s="53">
        <v>10045</v>
      </c>
      <c r="P90" s="53">
        <v>8879</v>
      </c>
      <c r="Q90" s="54">
        <v>45591</v>
      </c>
      <c r="R90" s="54">
        <v>45612</v>
      </c>
      <c r="S90" s="54" t="s">
        <v>210</v>
      </c>
      <c r="T90" t="s">
        <v>114</v>
      </c>
      <c r="U90" t="s">
        <v>114</v>
      </c>
      <c r="V90" t="s">
        <v>290</v>
      </c>
      <c r="W90" t="s">
        <v>289</v>
      </c>
    </row>
    <row r="91" spans="1:23" x14ac:dyDescent="0.25">
      <c r="A91" s="53">
        <v>1718948</v>
      </c>
      <c r="B91" s="53">
        <v>1286883</v>
      </c>
      <c r="C91" t="s">
        <v>68</v>
      </c>
      <c r="D91" t="s">
        <v>229</v>
      </c>
      <c r="E91" t="s">
        <v>222</v>
      </c>
      <c r="F91" t="s">
        <v>6</v>
      </c>
      <c r="G91" t="s">
        <v>78</v>
      </c>
      <c r="H91" t="s">
        <v>91</v>
      </c>
      <c r="I91" t="s">
        <v>82</v>
      </c>
      <c r="J91" s="53">
        <v>90</v>
      </c>
      <c r="K91" t="s">
        <v>94</v>
      </c>
      <c r="L91" t="s">
        <v>210</v>
      </c>
      <c r="M91" t="s">
        <v>279</v>
      </c>
      <c r="N91" s="53">
        <v>1</v>
      </c>
      <c r="O91" s="53">
        <v>11649</v>
      </c>
      <c r="P91" s="53">
        <v>11749</v>
      </c>
      <c r="Q91" s="54">
        <v>45591</v>
      </c>
      <c r="R91" s="54">
        <v>45606</v>
      </c>
      <c r="S91" s="54">
        <v>45614</v>
      </c>
      <c r="T91" t="s">
        <v>274</v>
      </c>
      <c r="U91" t="s">
        <v>116</v>
      </c>
      <c r="V91" t="s">
        <v>290</v>
      </c>
      <c r="W91" t="s">
        <v>287</v>
      </c>
    </row>
    <row r="92" spans="1:23" x14ac:dyDescent="0.25">
      <c r="A92" s="53">
        <v>1718949</v>
      </c>
      <c r="B92" s="53">
        <v>1286883</v>
      </c>
      <c r="C92" t="s">
        <v>68</v>
      </c>
      <c r="D92" t="s">
        <v>229</v>
      </c>
      <c r="E92" t="s">
        <v>222</v>
      </c>
      <c r="F92" t="s">
        <v>6</v>
      </c>
      <c r="G92" t="s">
        <v>78</v>
      </c>
      <c r="H92" t="s">
        <v>91</v>
      </c>
      <c r="I92" t="s">
        <v>82</v>
      </c>
      <c r="J92" s="53">
        <v>90</v>
      </c>
      <c r="K92" t="s">
        <v>94</v>
      </c>
      <c r="L92" t="s">
        <v>210</v>
      </c>
      <c r="M92" t="s">
        <v>279</v>
      </c>
      <c r="N92" s="53">
        <v>1</v>
      </c>
      <c r="O92" s="53">
        <v>11649</v>
      </c>
      <c r="P92" s="53">
        <v>11749</v>
      </c>
      <c r="Q92" s="54">
        <v>45591</v>
      </c>
      <c r="R92" s="54">
        <v>45606</v>
      </c>
      <c r="S92" s="54">
        <v>45614</v>
      </c>
      <c r="T92" t="s">
        <v>274</v>
      </c>
      <c r="U92" t="s">
        <v>116</v>
      </c>
      <c r="V92" t="s">
        <v>290</v>
      </c>
      <c r="W92" t="s">
        <v>287</v>
      </c>
    </row>
    <row r="93" spans="1:23" x14ac:dyDescent="0.25">
      <c r="A93" s="53" t="s">
        <v>210</v>
      </c>
      <c r="B93" s="53" t="s">
        <v>210</v>
      </c>
      <c r="C93" t="s">
        <v>144</v>
      </c>
      <c r="D93" t="s">
        <v>53</v>
      </c>
      <c r="E93" t="s">
        <v>292</v>
      </c>
      <c r="F93" t="s">
        <v>6</v>
      </c>
      <c r="G93" t="s">
        <v>78</v>
      </c>
      <c r="H93" t="s">
        <v>81</v>
      </c>
      <c r="I93" t="s">
        <v>84</v>
      </c>
      <c r="J93" s="53">
        <v>100</v>
      </c>
      <c r="K93" t="s">
        <v>93</v>
      </c>
      <c r="L93" t="s">
        <v>210</v>
      </c>
      <c r="M93" t="s">
        <v>281</v>
      </c>
      <c r="N93" s="53">
        <v>1</v>
      </c>
      <c r="O93" s="53">
        <v>5100</v>
      </c>
      <c r="P93" s="53">
        <v>4800</v>
      </c>
      <c r="Q93" s="54">
        <v>45593</v>
      </c>
      <c r="R93" s="54">
        <v>45607</v>
      </c>
      <c r="S93" s="54">
        <v>45617</v>
      </c>
      <c r="T93" t="s">
        <v>274</v>
      </c>
      <c r="U93" t="s">
        <v>116</v>
      </c>
      <c r="V93" t="s">
        <v>290</v>
      </c>
      <c r="W93" t="s">
        <v>287</v>
      </c>
    </row>
    <row r="94" spans="1:23" x14ac:dyDescent="0.25">
      <c r="A94" s="53" t="s">
        <v>210</v>
      </c>
      <c r="B94" s="53" t="s">
        <v>210</v>
      </c>
      <c r="C94" t="s">
        <v>144</v>
      </c>
      <c r="D94" t="s">
        <v>53</v>
      </c>
      <c r="E94" t="s">
        <v>292</v>
      </c>
      <c r="F94" t="s">
        <v>6</v>
      </c>
      <c r="G94" t="s">
        <v>78</v>
      </c>
      <c r="H94" t="s">
        <v>81</v>
      </c>
      <c r="I94" t="s">
        <v>84</v>
      </c>
      <c r="J94" s="53">
        <v>120</v>
      </c>
      <c r="K94" t="s">
        <v>93</v>
      </c>
      <c r="L94" t="s">
        <v>210</v>
      </c>
      <c r="M94" t="s">
        <v>281</v>
      </c>
      <c r="N94" s="53">
        <v>1</v>
      </c>
      <c r="O94" s="53">
        <v>5300</v>
      </c>
      <c r="P94" s="53">
        <v>4800</v>
      </c>
      <c r="Q94" s="54">
        <v>45593</v>
      </c>
      <c r="R94" s="54">
        <v>45607</v>
      </c>
      <c r="S94" s="54">
        <v>45617</v>
      </c>
      <c r="T94" t="s">
        <v>274</v>
      </c>
      <c r="U94" t="s">
        <v>116</v>
      </c>
      <c r="V94" t="s">
        <v>290</v>
      </c>
      <c r="W94" t="s">
        <v>287</v>
      </c>
    </row>
    <row r="95" spans="1:23" x14ac:dyDescent="0.25">
      <c r="A95" s="53">
        <v>1744766</v>
      </c>
      <c r="B95" s="53">
        <v>1298738</v>
      </c>
      <c r="C95" t="s">
        <v>145</v>
      </c>
      <c r="D95" t="s">
        <v>150</v>
      </c>
      <c r="E95" t="s">
        <v>292</v>
      </c>
      <c r="F95" t="s">
        <v>6</v>
      </c>
      <c r="G95" t="s">
        <v>78</v>
      </c>
      <c r="H95" t="s">
        <v>91</v>
      </c>
      <c r="I95" t="s">
        <v>83</v>
      </c>
      <c r="J95" s="53">
        <v>80</v>
      </c>
      <c r="K95" t="s">
        <v>93</v>
      </c>
      <c r="L95" t="s">
        <v>210</v>
      </c>
      <c r="M95" t="s">
        <v>279</v>
      </c>
      <c r="N95" s="53">
        <v>1</v>
      </c>
      <c r="O95" s="53">
        <v>12099</v>
      </c>
      <c r="P95" s="53" t="s">
        <v>12</v>
      </c>
      <c r="Q95" s="54">
        <v>45607</v>
      </c>
      <c r="R95" s="54">
        <v>45622</v>
      </c>
      <c r="S95" s="54">
        <v>45623</v>
      </c>
      <c r="T95" t="s">
        <v>274</v>
      </c>
      <c r="U95" t="s">
        <v>116</v>
      </c>
      <c r="V95" t="s">
        <v>290</v>
      </c>
      <c r="W95" t="s">
        <v>287</v>
      </c>
    </row>
    <row r="96" spans="1:23" x14ac:dyDescent="0.25">
      <c r="A96" s="53">
        <v>240082226</v>
      </c>
      <c r="B96" s="53" t="s">
        <v>210</v>
      </c>
      <c r="C96" t="s">
        <v>27</v>
      </c>
      <c r="D96" t="s">
        <v>316</v>
      </c>
      <c r="E96" t="s">
        <v>241</v>
      </c>
      <c r="F96" t="s">
        <v>27</v>
      </c>
      <c r="G96" t="s">
        <v>88</v>
      </c>
      <c r="H96" t="s">
        <v>90</v>
      </c>
      <c r="I96" t="s">
        <v>146</v>
      </c>
      <c r="J96" s="53" t="s">
        <v>210</v>
      </c>
      <c r="K96" t="s">
        <v>94</v>
      </c>
      <c r="L96" t="s">
        <v>147</v>
      </c>
      <c r="M96" t="s">
        <v>92</v>
      </c>
      <c r="N96" s="53">
        <v>1</v>
      </c>
      <c r="O96" s="53">
        <v>15872</v>
      </c>
      <c r="P96" s="53" t="s">
        <v>12</v>
      </c>
      <c r="Q96" s="54">
        <v>45604</v>
      </c>
      <c r="R96" s="54">
        <v>45363</v>
      </c>
      <c r="S96" s="54">
        <v>45610</v>
      </c>
      <c r="T96" t="s">
        <v>274</v>
      </c>
      <c r="U96" t="s">
        <v>116</v>
      </c>
      <c r="V96" t="s">
        <v>290</v>
      </c>
      <c r="W96" t="s">
        <v>287</v>
      </c>
    </row>
    <row r="97" spans="1:23" x14ac:dyDescent="0.25">
      <c r="A97" s="53">
        <v>3290</v>
      </c>
      <c r="B97" s="53" t="s">
        <v>210</v>
      </c>
      <c r="C97" t="s">
        <v>149</v>
      </c>
      <c r="D97" t="s">
        <v>227</v>
      </c>
      <c r="E97" t="s">
        <v>292</v>
      </c>
      <c r="F97" t="s">
        <v>149</v>
      </c>
      <c r="G97" t="s">
        <v>78</v>
      </c>
      <c r="H97" t="s">
        <v>81</v>
      </c>
      <c r="I97" t="s">
        <v>103</v>
      </c>
      <c r="J97" s="53">
        <v>120</v>
      </c>
      <c r="K97" t="s">
        <v>93</v>
      </c>
      <c r="L97" t="s">
        <v>210</v>
      </c>
      <c r="M97" t="s">
        <v>281</v>
      </c>
      <c r="N97" s="53">
        <v>1</v>
      </c>
      <c r="O97" s="53">
        <v>4520</v>
      </c>
      <c r="P97" s="53" t="s">
        <v>43</v>
      </c>
      <c r="Q97" s="54">
        <v>45606</v>
      </c>
      <c r="R97" s="54">
        <v>45618</v>
      </c>
      <c r="S97" s="54">
        <v>45617</v>
      </c>
      <c r="T97" t="s">
        <v>274</v>
      </c>
      <c r="U97" t="s">
        <v>116</v>
      </c>
      <c r="V97" t="s">
        <v>286</v>
      </c>
      <c r="W97" t="s">
        <v>287</v>
      </c>
    </row>
    <row r="98" spans="1:23" x14ac:dyDescent="0.25">
      <c r="A98" s="53">
        <v>6725</v>
      </c>
      <c r="B98" s="53" t="s">
        <v>210</v>
      </c>
      <c r="C98" t="s">
        <v>42</v>
      </c>
      <c r="D98" t="s">
        <v>155</v>
      </c>
      <c r="E98" t="s">
        <v>155</v>
      </c>
      <c r="F98" t="s">
        <v>29</v>
      </c>
      <c r="G98" t="s">
        <v>78</v>
      </c>
      <c r="H98" t="s">
        <v>91</v>
      </c>
      <c r="I98" t="s">
        <v>82</v>
      </c>
      <c r="J98" s="53">
        <v>90</v>
      </c>
      <c r="K98" t="s">
        <v>94</v>
      </c>
      <c r="L98" t="s">
        <v>210</v>
      </c>
      <c r="M98" t="s">
        <v>279</v>
      </c>
      <c r="N98" s="53">
        <v>1</v>
      </c>
      <c r="O98" s="53">
        <v>5766</v>
      </c>
      <c r="P98" s="53" t="s">
        <v>43</v>
      </c>
      <c r="Q98" s="54">
        <v>45608</v>
      </c>
      <c r="R98" s="54">
        <v>45622</v>
      </c>
      <c r="S98" s="54">
        <v>45621</v>
      </c>
      <c r="T98" t="s">
        <v>274</v>
      </c>
      <c r="U98" t="s">
        <v>116</v>
      </c>
      <c r="V98" t="s">
        <v>286</v>
      </c>
      <c r="W98" t="s">
        <v>287</v>
      </c>
    </row>
    <row r="99" spans="1:23" x14ac:dyDescent="0.25">
      <c r="A99" s="53">
        <v>1752544</v>
      </c>
      <c r="B99" s="53">
        <v>1302011</v>
      </c>
      <c r="C99" t="s">
        <v>151</v>
      </c>
      <c r="D99" t="s">
        <v>53</v>
      </c>
      <c r="E99" t="s">
        <v>292</v>
      </c>
      <c r="F99" t="s">
        <v>6</v>
      </c>
      <c r="G99" t="s">
        <v>78</v>
      </c>
      <c r="H99" t="s">
        <v>81</v>
      </c>
      <c r="I99" t="s">
        <v>103</v>
      </c>
      <c r="J99" s="53">
        <v>160</v>
      </c>
      <c r="K99" t="s">
        <v>99</v>
      </c>
      <c r="L99" t="s">
        <v>210</v>
      </c>
      <c r="M99" t="s">
        <v>281</v>
      </c>
      <c r="N99" s="53">
        <v>1</v>
      </c>
      <c r="O99" s="53">
        <v>11395</v>
      </c>
      <c r="P99" s="53" t="s">
        <v>12</v>
      </c>
      <c r="Q99" s="54">
        <v>45608</v>
      </c>
      <c r="R99" s="54">
        <v>45620</v>
      </c>
      <c r="S99" s="54">
        <v>45623</v>
      </c>
      <c r="T99" t="s">
        <v>274</v>
      </c>
      <c r="U99" t="s">
        <v>116</v>
      </c>
      <c r="V99" t="s">
        <v>290</v>
      </c>
      <c r="W99" t="s">
        <v>287</v>
      </c>
    </row>
    <row r="100" spans="1:23" x14ac:dyDescent="0.25">
      <c r="A100" s="53">
        <v>1755075</v>
      </c>
      <c r="B100" s="53">
        <v>1303159</v>
      </c>
      <c r="C100" t="s">
        <v>152</v>
      </c>
      <c r="D100" t="s">
        <v>227</v>
      </c>
      <c r="E100" t="s">
        <v>292</v>
      </c>
      <c r="F100" t="s">
        <v>6</v>
      </c>
      <c r="G100" t="s">
        <v>78</v>
      </c>
      <c r="H100" t="s">
        <v>91</v>
      </c>
      <c r="I100" t="s">
        <v>82</v>
      </c>
      <c r="J100" s="53">
        <v>80</v>
      </c>
      <c r="K100" t="s">
        <v>93</v>
      </c>
      <c r="L100" t="s">
        <v>210</v>
      </c>
      <c r="M100" t="s">
        <v>279</v>
      </c>
      <c r="N100" s="53">
        <v>1</v>
      </c>
      <c r="O100" s="53">
        <v>12919</v>
      </c>
      <c r="P100" s="53" t="s">
        <v>12</v>
      </c>
      <c r="Q100" s="54">
        <v>45610</v>
      </c>
      <c r="R100" s="54">
        <v>45626</v>
      </c>
      <c r="S100" s="54">
        <v>45623</v>
      </c>
      <c r="T100" t="s">
        <v>274</v>
      </c>
      <c r="U100" t="s">
        <v>116</v>
      </c>
      <c r="V100" t="s">
        <v>286</v>
      </c>
      <c r="W100" t="s">
        <v>287</v>
      </c>
    </row>
    <row r="101" spans="1:23" x14ac:dyDescent="0.25">
      <c r="A101" s="53">
        <v>6806</v>
      </c>
      <c r="B101" s="53" t="s">
        <v>210</v>
      </c>
      <c r="C101" t="s">
        <v>42</v>
      </c>
      <c r="D101" t="s">
        <v>155</v>
      </c>
      <c r="E101" t="s">
        <v>155</v>
      </c>
      <c r="F101" t="s">
        <v>29</v>
      </c>
      <c r="G101" t="s">
        <v>78</v>
      </c>
      <c r="H101" t="s">
        <v>91</v>
      </c>
      <c r="I101" t="s">
        <v>80</v>
      </c>
      <c r="J101" s="53">
        <v>120</v>
      </c>
      <c r="K101" t="s">
        <v>98</v>
      </c>
      <c r="L101" t="s">
        <v>210</v>
      </c>
      <c r="M101" t="s">
        <v>279</v>
      </c>
      <c r="N101" s="53">
        <v>1</v>
      </c>
      <c r="O101" s="53">
        <v>6376</v>
      </c>
      <c r="P101" s="53" t="s">
        <v>43</v>
      </c>
      <c r="Q101" s="54">
        <v>45610</v>
      </c>
      <c r="R101" s="54">
        <v>45623</v>
      </c>
      <c r="S101" s="54">
        <v>45621</v>
      </c>
      <c r="T101" t="s">
        <v>274</v>
      </c>
      <c r="U101" t="s">
        <v>116</v>
      </c>
      <c r="V101" t="s">
        <v>286</v>
      </c>
      <c r="W101" t="s">
        <v>287</v>
      </c>
    </row>
    <row r="102" spans="1:23" x14ac:dyDescent="0.25">
      <c r="A102" s="53">
        <v>6626</v>
      </c>
      <c r="B102" s="53" t="s">
        <v>210</v>
      </c>
      <c r="C102" t="s">
        <v>42</v>
      </c>
      <c r="D102" t="s">
        <v>155</v>
      </c>
      <c r="E102" t="s">
        <v>155</v>
      </c>
      <c r="F102" t="s">
        <v>29</v>
      </c>
      <c r="G102" t="s">
        <v>78</v>
      </c>
      <c r="H102" t="s">
        <v>91</v>
      </c>
      <c r="I102" t="s">
        <v>80</v>
      </c>
      <c r="J102" s="53">
        <v>90</v>
      </c>
      <c r="K102" t="s">
        <v>94</v>
      </c>
      <c r="L102" t="s">
        <v>210</v>
      </c>
      <c r="M102" t="s">
        <v>279</v>
      </c>
      <c r="N102" s="53">
        <v>1</v>
      </c>
      <c r="O102" s="53">
        <v>5294</v>
      </c>
      <c r="P102" s="53" t="s">
        <v>43</v>
      </c>
      <c r="Q102" s="54">
        <v>45610</v>
      </c>
      <c r="R102" s="54">
        <v>45623</v>
      </c>
      <c r="S102" s="54">
        <v>45621</v>
      </c>
      <c r="T102" t="s">
        <v>274</v>
      </c>
      <c r="U102" t="s">
        <v>116</v>
      </c>
      <c r="V102" t="s">
        <v>286</v>
      </c>
      <c r="W102" t="s">
        <v>287</v>
      </c>
    </row>
    <row r="103" spans="1:23" x14ac:dyDescent="0.25">
      <c r="A103" s="53">
        <v>265453625</v>
      </c>
      <c r="B103" s="53" t="s">
        <v>210</v>
      </c>
      <c r="C103" t="s">
        <v>158</v>
      </c>
      <c r="D103" t="s">
        <v>229</v>
      </c>
      <c r="E103" t="s">
        <v>222</v>
      </c>
      <c r="F103" t="s">
        <v>159</v>
      </c>
      <c r="G103" t="s">
        <v>78</v>
      </c>
      <c r="H103" t="s">
        <v>91</v>
      </c>
      <c r="I103" t="s">
        <v>83</v>
      </c>
      <c r="J103" s="53">
        <v>80</v>
      </c>
      <c r="K103" t="s">
        <v>93</v>
      </c>
      <c r="L103" t="s">
        <v>210</v>
      </c>
      <c r="M103" t="s">
        <v>279</v>
      </c>
      <c r="N103" s="53">
        <v>1</v>
      </c>
      <c r="O103" s="53">
        <v>7396</v>
      </c>
      <c r="P103" s="53" t="s">
        <v>12</v>
      </c>
      <c r="Q103" s="54">
        <v>45613</v>
      </c>
      <c r="R103" s="54">
        <v>45624</v>
      </c>
      <c r="S103" s="54">
        <v>45622</v>
      </c>
      <c r="T103" t="s">
        <v>274</v>
      </c>
      <c r="U103" t="s">
        <v>116</v>
      </c>
      <c r="V103" t="s">
        <v>286</v>
      </c>
      <c r="W103" t="s">
        <v>287</v>
      </c>
    </row>
    <row r="104" spans="1:23" x14ac:dyDescent="0.25">
      <c r="A104" s="53">
        <v>1762617</v>
      </c>
      <c r="B104" s="53">
        <v>1306879</v>
      </c>
      <c r="C104" t="s">
        <v>68</v>
      </c>
      <c r="D104" t="s">
        <v>229</v>
      </c>
      <c r="E104" t="s">
        <v>222</v>
      </c>
      <c r="F104" t="s">
        <v>6</v>
      </c>
      <c r="G104" t="s">
        <v>78</v>
      </c>
      <c r="H104" t="s">
        <v>91</v>
      </c>
      <c r="I104" t="s">
        <v>82</v>
      </c>
      <c r="J104" s="53">
        <v>90</v>
      </c>
      <c r="K104" t="s">
        <v>94</v>
      </c>
      <c r="L104" t="s">
        <v>210</v>
      </c>
      <c r="M104" t="s">
        <v>279</v>
      </c>
      <c r="N104" s="53">
        <v>1</v>
      </c>
      <c r="O104" s="53">
        <v>13439</v>
      </c>
      <c r="P104" s="53">
        <v>13575</v>
      </c>
      <c r="Q104" s="54">
        <v>45616</v>
      </c>
      <c r="R104" s="54">
        <v>45631</v>
      </c>
      <c r="S104" s="54">
        <v>45622</v>
      </c>
      <c r="T104" t="s">
        <v>274</v>
      </c>
      <c r="U104" t="s">
        <v>116</v>
      </c>
      <c r="V104" t="s">
        <v>286</v>
      </c>
      <c r="W104" t="s">
        <v>287</v>
      </c>
    </row>
    <row r="105" spans="1:23" x14ac:dyDescent="0.25">
      <c r="A105" s="53" t="s">
        <v>210</v>
      </c>
      <c r="B105" s="53" t="s">
        <v>210</v>
      </c>
      <c r="C105" t="s">
        <v>23</v>
      </c>
      <c r="D105" t="s">
        <v>22</v>
      </c>
      <c r="E105" t="s">
        <v>292</v>
      </c>
      <c r="F105" t="s">
        <v>23</v>
      </c>
      <c r="G105" t="s">
        <v>78</v>
      </c>
      <c r="H105" t="s">
        <v>81</v>
      </c>
      <c r="I105" t="s">
        <v>162</v>
      </c>
      <c r="J105" s="53">
        <v>160</v>
      </c>
      <c r="K105" t="s">
        <v>94</v>
      </c>
      <c r="L105" t="s">
        <v>210</v>
      </c>
      <c r="M105" t="s">
        <v>281</v>
      </c>
      <c r="N105" s="53">
        <v>1</v>
      </c>
      <c r="O105" s="53">
        <v>5100</v>
      </c>
      <c r="P105" s="53" t="s">
        <v>43</v>
      </c>
      <c r="Q105" s="54">
        <v>45610</v>
      </c>
      <c r="R105" s="54">
        <v>45634</v>
      </c>
      <c r="S105" s="54" t="s">
        <v>210</v>
      </c>
      <c r="T105" t="s">
        <v>210</v>
      </c>
      <c r="U105" t="s">
        <v>210</v>
      </c>
      <c r="V105" t="s">
        <v>290</v>
      </c>
      <c r="W105" t="s">
        <v>289</v>
      </c>
    </row>
    <row r="106" spans="1:23" x14ac:dyDescent="0.25">
      <c r="A106" s="53" t="s">
        <v>210</v>
      </c>
      <c r="B106" s="53" t="s">
        <v>210</v>
      </c>
      <c r="C106" t="s">
        <v>163</v>
      </c>
      <c r="D106" t="s">
        <v>26</v>
      </c>
      <c r="E106" t="s">
        <v>292</v>
      </c>
      <c r="F106" t="s">
        <v>164</v>
      </c>
      <c r="G106" t="s">
        <v>78</v>
      </c>
      <c r="H106" t="s">
        <v>81</v>
      </c>
      <c r="I106" t="s">
        <v>165</v>
      </c>
      <c r="J106" s="53">
        <v>160</v>
      </c>
      <c r="K106" t="s">
        <v>102</v>
      </c>
      <c r="L106" t="s">
        <v>93</v>
      </c>
      <c r="M106" t="s">
        <v>281</v>
      </c>
      <c r="N106" s="53">
        <v>1</v>
      </c>
      <c r="O106" s="53">
        <v>6000</v>
      </c>
      <c r="P106" s="53">
        <v>5800</v>
      </c>
      <c r="Q106" s="54">
        <v>45618</v>
      </c>
      <c r="R106" s="54">
        <v>45628</v>
      </c>
      <c r="S106" s="54">
        <v>45623</v>
      </c>
      <c r="T106" t="s">
        <v>274</v>
      </c>
      <c r="U106" t="s">
        <v>116</v>
      </c>
      <c r="V106" t="s">
        <v>286</v>
      </c>
      <c r="W106" t="s">
        <v>287</v>
      </c>
    </row>
    <row r="107" spans="1:23" x14ac:dyDescent="0.25">
      <c r="A107" s="53">
        <v>1765451</v>
      </c>
      <c r="B107" s="53">
        <v>1308241</v>
      </c>
      <c r="C107" t="s">
        <v>166</v>
      </c>
      <c r="D107" t="s">
        <v>167</v>
      </c>
      <c r="E107" t="s">
        <v>292</v>
      </c>
      <c r="F107" t="s">
        <v>6</v>
      </c>
      <c r="G107" t="s">
        <v>78</v>
      </c>
      <c r="H107" t="s">
        <v>81</v>
      </c>
      <c r="I107" t="s">
        <v>84</v>
      </c>
      <c r="J107" s="53">
        <v>120</v>
      </c>
      <c r="K107" t="s">
        <v>98</v>
      </c>
      <c r="L107" t="s">
        <v>210</v>
      </c>
      <c r="M107" t="s">
        <v>281</v>
      </c>
      <c r="N107" s="53">
        <v>1</v>
      </c>
      <c r="O107" s="53">
        <v>10885</v>
      </c>
      <c r="P107" s="53">
        <v>7965</v>
      </c>
      <c r="Q107" s="54">
        <v>45620</v>
      </c>
      <c r="R107" s="54">
        <v>45631</v>
      </c>
      <c r="S107" s="54">
        <v>45636</v>
      </c>
      <c r="T107" t="s">
        <v>274</v>
      </c>
      <c r="U107" t="s">
        <v>116</v>
      </c>
      <c r="V107" t="s">
        <v>290</v>
      </c>
      <c r="W107" t="s">
        <v>287</v>
      </c>
    </row>
    <row r="108" spans="1:23" x14ac:dyDescent="0.25">
      <c r="A108" s="53" t="s">
        <v>210</v>
      </c>
      <c r="B108" s="53" t="s">
        <v>210</v>
      </c>
      <c r="C108" t="s">
        <v>23</v>
      </c>
      <c r="D108" t="s">
        <v>22</v>
      </c>
      <c r="E108" t="s">
        <v>292</v>
      </c>
      <c r="F108" t="s">
        <v>23</v>
      </c>
      <c r="G108" t="s">
        <v>88</v>
      </c>
      <c r="H108" t="s">
        <v>169</v>
      </c>
      <c r="I108" t="s">
        <v>169</v>
      </c>
      <c r="J108" s="53" t="s">
        <v>210</v>
      </c>
      <c r="K108" t="s">
        <v>210</v>
      </c>
      <c r="L108" t="s">
        <v>210</v>
      </c>
      <c r="M108" t="s">
        <v>283</v>
      </c>
      <c r="N108" s="53">
        <v>1</v>
      </c>
      <c r="O108" s="53">
        <v>6000</v>
      </c>
      <c r="P108" s="53">
        <v>6000</v>
      </c>
      <c r="Q108" s="54">
        <v>45615</v>
      </c>
      <c r="R108" s="54">
        <v>45631</v>
      </c>
      <c r="S108" s="54">
        <v>45616</v>
      </c>
      <c r="T108" t="s">
        <v>274</v>
      </c>
      <c r="U108" t="s">
        <v>116</v>
      </c>
      <c r="V108" t="s">
        <v>286</v>
      </c>
      <c r="W108" t="s">
        <v>287</v>
      </c>
    </row>
    <row r="109" spans="1:23" x14ac:dyDescent="0.25">
      <c r="A109" s="53">
        <v>1782674</v>
      </c>
      <c r="B109" s="53">
        <v>1315860</v>
      </c>
      <c r="C109" t="s">
        <v>170</v>
      </c>
      <c r="D109" t="s">
        <v>243</v>
      </c>
      <c r="E109" t="s">
        <v>224</v>
      </c>
      <c r="F109" t="s">
        <v>6</v>
      </c>
      <c r="G109" t="s">
        <v>171</v>
      </c>
      <c r="H109" t="s">
        <v>171</v>
      </c>
      <c r="I109" t="s">
        <v>172</v>
      </c>
      <c r="J109" s="53" t="s">
        <v>210</v>
      </c>
      <c r="K109" t="s">
        <v>210</v>
      </c>
      <c r="L109" t="s">
        <v>210</v>
      </c>
      <c r="M109" t="s">
        <v>171</v>
      </c>
      <c r="N109" s="53">
        <v>1</v>
      </c>
      <c r="O109" s="53">
        <v>8449</v>
      </c>
      <c r="P109" s="53" t="s">
        <v>12</v>
      </c>
      <c r="Q109" s="54">
        <v>45623</v>
      </c>
      <c r="R109" s="54">
        <v>45636</v>
      </c>
      <c r="S109" s="54">
        <v>45649</v>
      </c>
      <c r="T109" t="s">
        <v>272</v>
      </c>
      <c r="U109" t="s">
        <v>116</v>
      </c>
      <c r="V109" t="s">
        <v>290</v>
      </c>
      <c r="W109" t="s">
        <v>287</v>
      </c>
    </row>
    <row r="110" spans="1:23" x14ac:dyDescent="0.25">
      <c r="A110" s="53">
        <v>1781530</v>
      </c>
      <c r="B110" s="53">
        <v>1315450</v>
      </c>
      <c r="C110" t="s">
        <v>173</v>
      </c>
      <c r="D110" t="s">
        <v>220</v>
      </c>
      <c r="E110" t="s">
        <v>292</v>
      </c>
      <c r="F110" t="s">
        <v>6</v>
      </c>
      <c r="G110" t="s">
        <v>171</v>
      </c>
      <c r="H110" t="s">
        <v>191</v>
      </c>
      <c r="I110" t="s">
        <v>175</v>
      </c>
      <c r="J110" s="53" t="s">
        <v>210</v>
      </c>
      <c r="K110" t="s">
        <v>93</v>
      </c>
      <c r="L110" t="s">
        <v>176</v>
      </c>
      <c r="M110" t="s">
        <v>278</v>
      </c>
      <c r="N110" s="53">
        <v>1</v>
      </c>
      <c r="O110" s="53">
        <v>10249</v>
      </c>
      <c r="P110" s="53">
        <v>6211</v>
      </c>
      <c r="Q110" s="54">
        <v>45623</v>
      </c>
      <c r="R110" s="54">
        <v>45636</v>
      </c>
      <c r="S110" s="54">
        <v>45645</v>
      </c>
      <c r="T110" t="s">
        <v>274</v>
      </c>
      <c r="U110" t="s">
        <v>116</v>
      </c>
      <c r="V110" t="s">
        <v>290</v>
      </c>
      <c r="W110" t="s">
        <v>287</v>
      </c>
    </row>
    <row r="111" spans="1:23" x14ac:dyDescent="0.25">
      <c r="A111" s="53">
        <v>1795447</v>
      </c>
      <c r="B111" s="53">
        <v>1321584</v>
      </c>
      <c r="C111" t="s">
        <v>177</v>
      </c>
      <c r="D111" t="s">
        <v>244</v>
      </c>
      <c r="E111" t="s">
        <v>224</v>
      </c>
      <c r="F111" t="s">
        <v>6</v>
      </c>
      <c r="G111" t="s">
        <v>78</v>
      </c>
      <c r="H111" t="s">
        <v>91</v>
      </c>
      <c r="I111" t="s">
        <v>83</v>
      </c>
      <c r="J111" s="53">
        <v>100</v>
      </c>
      <c r="K111" t="s">
        <v>94</v>
      </c>
      <c r="L111" t="s">
        <v>210</v>
      </c>
      <c r="M111" t="s">
        <v>279</v>
      </c>
      <c r="N111" s="53">
        <v>1</v>
      </c>
      <c r="O111" s="53">
        <v>14905</v>
      </c>
      <c r="P111" s="53" t="s">
        <v>12</v>
      </c>
      <c r="Q111" s="54">
        <v>45625</v>
      </c>
      <c r="R111" s="54">
        <v>45641</v>
      </c>
      <c r="S111" s="54" t="s">
        <v>113</v>
      </c>
      <c r="T111" t="s">
        <v>194</v>
      </c>
      <c r="U111" t="s">
        <v>157</v>
      </c>
      <c r="V111" t="s">
        <v>290</v>
      </c>
      <c r="W111" t="s">
        <v>289</v>
      </c>
    </row>
    <row r="112" spans="1:23" x14ac:dyDescent="0.25">
      <c r="A112" s="53">
        <v>1808440</v>
      </c>
      <c r="B112" s="53">
        <v>1327172</v>
      </c>
      <c r="C112" t="s">
        <v>181</v>
      </c>
      <c r="D112" t="s">
        <v>34</v>
      </c>
      <c r="E112" t="s">
        <v>292</v>
      </c>
      <c r="F112" t="s">
        <v>6</v>
      </c>
      <c r="G112" t="s">
        <v>171</v>
      </c>
      <c r="H112" t="s">
        <v>191</v>
      </c>
      <c r="I112" t="s">
        <v>175</v>
      </c>
      <c r="J112" s="53" t="s">
        <v>210</v>
      </c>
      <c r="K112" t="s">
        <v>94</v>
      </c>
      <c r="L112" t="s">
        <v>180</v>
      </c>
      <c r="M112" t="s">
        <v>278</v>
      </c>
      <c r="N112" s="53">
        <v>1</v>
      </c>
      <c r="O112" s="53">
        <v>10249</v>
      </c>
      <c r="P112" s="53" t="s">
        <v>12</v>
      </c>
      <c r="Q112" s="54">
        <v>45626</v>
      </c>
      <c r="R112" s="54">
        <v>45638</v>
      </c>
      <c r="S112" s="54" t="s">
        <v>210</v>
      </c>
      <c r="T112" t="s">
        <v>114</v>
      </c>
      <c r="U112" t="s">
        <v>114</v>
      </c>
      <c r="V112" t="s">
        <v>290</v>
      </c>
      <c r="W112" t="s">
        <v>289</v>
      </c>
    </row>
    <row r="113" spans="1:23" x14ac:dyDescent="0.25">
      <c r="A113" s="53">
        <v>1808441</v>
      </c>
      <c r="B113" s="53">
        <v>1327172</v>
      </c>
      <c r="C113" t="s">
        <v>181</v>
      </c>
      <c r="D113" t="s">
        <v>34</v>
      </c>
      <c r="E113" t="s">
        <v>292</v>
      </c>
      <c r="F113" t="s">
        <v>6</v>
      </c>
      <c r="G113" t="s">
        <v>171</v>
      </c>
      <c r="H113" t="s">
        <v>111</v>
      </c>
      <c r="I113" t="s">
        <v>210</v>
      </c>
      <c r="J113" s="53" t="s">
        <v>210</v>
      </c>
      <c r="K113" t="s">
        <v>94</v>
      </c>
      <c r="L113" t="s">
        <v>180</v>
      </c>
      <c r="M113" t="s">
        <v>280</v>
      </c>
      <c r="N113" s="53">
        <v>1</v>
      </c>
      <c r="O113" s="53">
        <v>9029</v>
      </c>
      <c r="P113" s="53" t="s">
        <v>12</v>
      </c>
      <c r="Q113" s="54">
        <v>45626</v>
      </c>
      <c r="R113" s="54">
        <v>45638</v>
      </c>
      <c r="S113" s="54" t="s">
        <v>210</v>
      </c>
      <c r="T113" t="s">
        <v>114</v>
      </c>
      <c r="U113" t="s">
        <v>114</v>
      </c>
      <c r="V113" t="s">
        <v>290</v>
      </c>
      <c r="W113" t="s">
        <v>289</v>
      </c>
    </row>
    <row r="114" spans="1:23" x14ac:dyDescent="0.25">
      <c r="A114" s="53">
        <v>1805052</v>
      </c>
      <c r="B114" s="53">
        <v>1325637</v>
      </c>
      <c r="C114" t="s">
        <v>184</v>
      </c>
      <c r="D114" t="s">
        <v>76</v>
      </c>
      <c r="E114" t="s">
        <v>76</v>
      </c>
      <c r="F114" t="s">
        <v>6</v>
      </c>
      <c r="G114" t="s">
        <v>171</v>
      </c>
      <c r="H114" t="s">
        <v>109</v>
      </c>
      <c r="I114" t="s">
        <v>210</v>
      </c>
      <c r="J114" s="53" t="s">
        <v>210</v>
      </c>
      <c r="K114" t="s">
        <v>94</v>
      </c>
      <c r="L114" t="s">
        <v>129</v>
      </c>
      <c r="M114" t="s">
        <v>277</v>
      </c>
      <c r="N114" s="53">
        <v>1</v>
      </c>
      <c r="O114" s="53">
        <v>9029</v>
      </c>
      <c r="P114" s="53" t="s">
        <v>12</v>
      </c>
      <c r="Q114" s="54">
        <v>45626</v>
      </c>
      <c r="R114" s="54">
        <v>45638</v>
      </c>
      <c r="S114" s="54" t="s">
        <v>210</v>
      </c>
      <c r="T114" t="s">
        <v>210</v>
      </c>
      <c r="U114" t="s">
        <v>210</v>
      </c>
      <c r="V114" t="s">
        <v>290</v>
      </c>
      <c r="W114" t="s">
        <v>289</v>
      </c>
    </row>
    <row r="115" spans="1:23" x14ac:dyDescent="0.25">
      <c r="A115" s="53">
        <v>1813823</v>
      </c>
      <c r="B115" s="53">
        <v>1329646</v>
      </c>
      <c r="C115" t="s">
        <v>186</v>
      </c>
      <c r="D115" t="s">
        <v>187</v>
      </c>
      <c r="E115" t="s">
        <v>292</v>
      </c>
      <c r="F115" t="s">
        <v>6</v>
      </c>
      <c r="G115" t="s">
        <v>78</v>
      </c>
      <c r="H115" t="s">
        <v>91</v>
      </c>
      <c r="I115" t="s">
        <v>80</v>
      </c>
      <c r="J115" s="53">
        <v>80</v>
      </c>
      <c r="K115" t="s">
        <v>93</v>
      </c>
      <c r="L115" t="s">
        <v>210</v>
      </c>
      <c r="M115" t="s">
        <v>279</v>
      </c>
      <c r="N115" s="53">
        <v>1</v>
      </c>
      <c r="O115" s="53">
        <v>12099</v>
      </c>
      <c r="P115" s="53" t="s">
        <v>12</v>
      </c>
      <c r="Q115" s="54">
        <v>45628</v>
      </c>
      <c r="R115" s="54">
        <v>45643</v>
      </c>
      <c r="S115" s="54" t="s">
        <v>210</v>
      </c>
      <c r="T115" t="s">
        <v>114</v>
      </c>
      <c r="U115" t="s">
        <v>114</v>
      </c>
      <c r="V115" t="s">
        <v>290</v>
      </c>
      <c r="W115" t="s">
        <v>289</v>
      </c>
    </row>
    <row r="116" spans="1:23" x14ac:dyDescent="0.25">
      <c r="A116" s="53">
        <v>7152</v>
      </c>
      <c r="B116" s="53" t="s">
        <v>210</v>
      </c>
      <c r="C116" t="s">
        <v>42</v>
      </c>
      <c r="D116" t="s">
        <v>155</v>
      </c>
      <c r="E116" t="s">
        <v>155</v>
      </c>
      <c r="F116" t="s">
        <v>29</v>
      </c>
      <c r="G116" t="s">
        <v>78</v>
      </c>
      <c r="H116" t="s">
        <v>91</v>
      </c>
      <c r="I116" t="s">
        <v>83</v>
      </c>
      <c r="J116" s="53">
        <v>90</v>
      </c>
      <c r="K116" t="s">
        <v>96</v>
      </c>
      <c r="L116" t="s">
        <v>210</v>
      </c>
      <c r="M116" t="s">
        <v>279</v>
      </c>
      <c r="N116" s="53">
        <v>1</v>
      </c>
      <c r="O116" s="53">
        <v>5217</v>
      </c>
      <c r="P116" s="53" t="s">
        <v>43</v>
      </c>
      <c r="Q116" s="54">
        <v>45627</v>
      </c>
      <c r="R116" s="54">
        <v>45640</v>
      </c>
      <c r="S116" s="54">
        <v>45636</v>
      </c>
      <c r="T116" t="s">
        <v>274</v>
      </c>
      <c r="U116" t="s">
        <v>116</v>
      </c>
      <c r="V116" t="s">
        <v>286</v>
      </c>
      <c r="W116" t="s">
        <v>287</v>
      </c>
    </row>
    <row r="117" spans="1:23" x14ac:dyDescent="0.25">
      <c r="A117" s="53">
        <v>1810950</v>
      </c>
      <c r="B117" s="53">
        <v>1328141</v>
      </c>
      <c r="C117" t="s">
        <v>188</v>
      </c>
      <c r="D117" t="s">
        <v>71</v>
      </c>
      <c r="E117" t="s">
        <v>292</v>
      </c>
      <c r="F117" t="s">
        <v>6</v>
      </c>
      <c r="G117" t="s">
        <v>78</v>
      </c>
      <c r="H117" t="s">
        <v>79</v>
      </c>
      <c r="I117" t="s">
        <v>210</v>
      </c>
      <c r="J117" s="53" t="s">
        <v>210</v>
      </c>
      <c r="K117" t="s">
        <v>94</v>
      </c>
      <c r="L117" t="s">
        <v>94</v>
      </c>
      <c r="M117" t="s">
        <v>256</v>
      </c>
      <c r="N117" s="53">
        <v>1</v>
      </c>
      <c r="O117" s="53">
        <v>10249</v>
      </c>
      <c r="P117" s="53">
        <v>6211</v>
      </c>
      <c r="Q117" s="54">
        <v>45630</v>
      </c>
      <c r="R117" s="54">
        <v>45640</v>
      </c>
      <c r="S117" s="54">
        <v>45645</v>
      </c>
      <c r="T117" t="s">
        <v>274</v>
      </c>
      <c r="U117" t="s">
        <v>116</v>
      </c>
      <c r="V117" t="s">
        <v>290</v>
      </c>
      <c r="W117" t="s">
        <v>287</v>
      </c>
    </row>
    <row r="118" spans="1:23" x14ac:dyDescent="0.25">
      <c r="A118" s="53">
        <v>240085463</v>
      </c>
      <c r="B118" s="53" t="s">
        <v>210</v>
      </c>
      <c r="C118" t="s">
        <v>189</v>
      </c>
      <c r="D118" t="s">
        <v>227</v>
      </c>
      <c r="E118" t="s">
        <v>292</v>
      </c>
      <c r="F118" t="s">
        <v>27</v>
      </c>
      <c r="G118" t="s">
        <v>78</v>
      </c>
      <c r="H118" t="s">
        <v>91</v>
      </c>
      <c r="I118" t="s">
        <v>82</v>
      </c>
      <c r="J118" s="53" t="s">
        <v>210</v>
      </c>
      <c r="K118" t="s">
        <v>94</v>
      </c>
      <c r="L118" t="s">
        <v>210</v>
      </c>
      <c r="M118" t="s">
        <v>279</v>
      </c>
      <c r="N118" s="53">
        <v>1</v>
      </c>
      <c r="O118" s="53">
        <v>10445</v>
      </c>
      <c r="P118" s="53">
        <v>7707</v>
      </c>
      <c r="Q118" s="54">
        <v>45635</v>
      </c>
      <c r="R118" s="54">
        <v>45657</v>
      </c>
      <c r="S118" s="54">
        <v>45638</v>
      </c>
      <c r="T118" t="s">
        <v>274</v>
      </c>
      <c r="U118" t="s">
        <v>116</v>
      </c>
      <c r="V118" t="s">
        <v>286</v>
      </c>
      <c r="W118" t="s">
        <v>287</v>
      </c>
    </row>
    <row r="119" spans="1:23" x14ac:dyDescent="0.25">
      <c r="A119" s="53">
        <v>1818591</v>
      </c>
      <c r="B119" s="53">
        <v>1332300</v>
      </c>
      <c r="C119" t="s">
        <v>190</v>
      </c>
      <c r="D119" t="s">
        <v>34</v>
      </c>
      <c r="E119" t="s">
        <v>292</v>
      </c>
      <c r="F119" t="s">
        <v>6</v>
      </c>
      <c r="G119" t="s">
        <v>171</v>
      </c>
      <c r="H119" t="s">
        <v>191</v>
      </c>
      <c r="I119" t="s">
        <v>175</v>
      </c>
      <c r="J119" s="53" t="s">
        <v>210</v>
      </c>
      <c r="K119" t="s">
        <v>94</v>
      </c>
      <c r="L119" t="s">
        <v>180</v>
      </c>
      <c r="M119" t="s">
        <v>278</v>
      </c>
      <c r="N119" s="53">
        <v>1</v>
      </c>
      <c r="O119" s="53">
        <v>11199</v>
      </c>
      <c r="P119" s="53">
        <v>11257</v>
      </c>
      <c r="Q119" s="54">
        <v>45638</v>
      </c>
      <c r="R119" s="54">
        <v>45650</v>
      </c>
      <c r="S119" s="54">
        <v>45645</v>
      </c>
      <c r="T119" t="s">
        <v>274</v>
      </c>
      <c r="U119" t="s">
        <v>116</v>
      </c>
      <c r="V119" t="s">
        <v>286</v>
      </c>
      <c r="W119" t="s">
        <v>287</v>
      </c>
    </row>
    <row r="120" spans="1:23" x14ac:dyDescent="0.25">
      <c r="A120" s="53">
        <v>1818396</v>
      </c>
      <c r="B120" s="53">
        <v>1332179</v>
      </c>
      <c r="C120" t="s">
        <v>192</v>
      </c>
      <c r="D120" t="s">
        <v>229</v>
      </c>
      <c r="E120" t="s">
        <v>222</v>
      </c>
      <c r="F120" t="s">
        <v>6</v>
      </c>
      <c r="G120" t="s">
        <v>78</v>
      </c>
      <c r="H120" t="s">
        <v>91</v>
      </c>
      <c r="I120" t="s">
        <v>80</v>
      </c>
      <c r="J120" s="53">
        <v>80</v>
      </c>
      <c r="K120" t="s">
        <v>94</v>
      </c>
      <c r="L120" t="s">
        <v>210</v>
      </c>
      <c r="M120" t="s">
        <v>279</v>
      </c>
      <c r="N120" s="53">
        <v>1</v>
      </c>
      <c r="O120" s="53">
        <v>13099</v>
      </c>
      <c r="P120" s="53">
        <v>13231</v>
      </c>
      <c r="Q120" s="54">
        <v>45638</v>
      </c>
      <c r="R120" s="54">
        <v>45654</v>
      </c>
      <c r="S120" s="54">
        <v>45655</v>
      </c>
      <c r="T120" t="s">
        <v>274</v>
      </c>
      <c r="U120" t="s">
        <v>116</v>
      </c>
      <c r="V120" t="s">
        <v>290</v>
      </c>
      <c r="W120" t="s">
        <v>287</v>
      </c>
    </row>
    <row r="121" spans="1:23" x14ac:dyDescent="0.25">
      <c r="A121" s="53">
        <v>240085758</v>
      </c>
      <c r="B121" s="53" t="s">
        <v>210</v>
      </c>
      <c r="C121" t="s">
        <v>27</v>
      </c>
      <c r="D121" t="s">
        <v>316</v>
      </c>
      <c r="E121" t="s">
        <v>241</v>
      </c>
      <c r="F121" t="s">
        <v>27</v>
      </c>
      <c r="G121" t="s">
        <v>88</v>
      </c>
      <c r="H121" t="s">
        <v>90</v>
      </c>
      <c r="I121" t="s">
        <v>146</v>
      </c>
      <c r="J121" s="53" t="s">
        <v>210</v>
      </c>
      <c r="K121" t="s">
        <v>94</v>
      </c>
      <c r="L121" t="s">
        <v>193</v>
      </c>
      <c r="M121" t="s">
        <v>92</v>
      </c>
      <c r="N121" s="53">
        <v>1</v>
      </c>
      <c r="O121" s="53">
        <v>8700</v>
      </c>
      <c r="P121" s="53" t="s">
        <v>43</v>
      </c>
      <c r="Q121" s="54">
        <v>45640</v>
      </c>
      <c r="R121" s="54">
        <v>45662</v>
      </c>
      <c r="S121" s="54">
        <v>45655</v>
      </c>
      <c r="T121" t="s">
        <v>274</v>
      </c>
      <c r="U121" t="s">
        <v>116</v>
      </c>
      <c r="V121" t="s">
        <v>286</v>
      </c>
      <c r="W121" t="s">
        <v>287</v>
      </c>
    </row>
    <row r="122" spans="1:23" x14ac:dyDescent="0.25">
      <c r="A122"/>
      <c r="B122"/>
      <c r="J122"/>
      <c r="N122"/>
      <c r="O122"/>
      <c r="P122"/>
      <c r="Q122"/>
      <c r="R122"/>
      <c r="S122"/>
    </row>
    <row r="123" spans="1:23" x14ac:dyDescent="0.25">
      <c r="A123"/>
      <c r="B123"/>
      <c r="J123"/>
      <c r="N123"/>
      <c r="O123"/>
      <c r="P123"/>
      <c r="Q123"/>
      <c r="R123"/>
      <c r="S123"/>
    </row>
    <row r="124" spans="1:23" x14ac:dyDescent="0.25">
      <c r="A124"/>
      <c r="B124"/>
      <c r="J124"/>
      <c r="N124"/>
      <c r="O124"/>
      <c r="P124"/>
      <c r="Q124"/>
      <c r="R124"/>
      <c r="S124"/>
    </row>
    <row r="125" spans="1:23" x14ac:dyDescent="0.25">
      <c r="A125"/>
      <c r="B125"/>
      <c r="J125"/>
      <c r="N125"/>
      <c r="O125"/>
      <c r="P125"/>
      <c r="Q125"/>
      <c r="R125"/>
      <c r="S125"/>
    </row>
    <row r="126" spans="1:23" x14ac:dyDescent="0.25">
      <c r="A126"/>
      <c r="B126"/>
      <c r="J126"/>
      <c r="N126"/>
      <c r="O126"/>
      <c r="P126"/>
      <c r="Q126"/>
      <c r="R126"/>
      <c r="S126"/>
    </row>
    <row r="127" spans="1:23" x14ac:dyDescent="0.25">
      <c r="A127"/>
      <c r="B127"/>
      <c r="J127"/>
      <c r="N127"/>
      <c r="O127"/>
      <c r="P127"/>
      <c r="Q127"/>
      <c r="R127"/>
      <c r="S12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7"/>
  <sheetViews>
    <sheetView rightToLeft="1" topLeftCell="M1" zoomScale="106" zoomScaleNormal="106" workbookViewId="0">
      <selection activeCell="S4" sqref="S4"/>
    </sheetView>
  </sheetViews>
  <sheetFormatPr defaultColWidth="8.85546875" defaultRowHeight="15" x14ac:dyDescent="0.25"/>
  <cols>
    <col min="1" max="1" width="16.42578125" style="11" bestFit="1" customWidth="1"/>
    <col min="2" max="2" width="16.28515625" style="11" bestFit="1" customWidth="1"/>
    <col min="3" max="3" width="16.7109375" style="11" bestFit="1" customWidth="1"/>
    <col min="4" max="4" width="31" style="11" bestFit="1" customWidth="1"/>
    <col min="5" max="6" width="31" style="11" customWidth="1"/>
    <col min="7" max="7" width="15" style="11" bestFit="1" customWidth="1"/>
    <col min="8" max="8" width="14.28515625" style="11" customWidth="1"/>
    <col min="9" max="9" width="13.5703125" style="11" customWidth="1"/>
    <col min="10" max="10" width="12.140625" style="11" customWidth="1"/>
    <col min="11" max="11" width="13.5703125" style="11" customWidth="1"/>
    <col min="12" max="12" width="10.85546875" style="11" customWidth="1"/>
    <col min="13" max="13" width="23.85546875" style="11" bestFit="1" customWidth="1"/>
    <col min="14" max="14" width="11.85546875" style="11" bestFit="1" customWidth="1"/>
    <col min="15" max="15" width="16.28515625" style="11" customWidth="1"/>
    <col min="16" max="16" width="15.42578125" style="11" bestFit="1" customWidth="1"/>
    <col min="17" max="17" width="17.85546875" style="16" bestFit="1" customWidth="1"/>
    <col min="18" max="18" width="17.7109375" style="11" bestFit="1" customWidth="1"/>
    <col min="19" max="19" width="18.28515625" style="11" bestFit="1" customWidth="1"/>
    <col min="20" max="20" width="24.5703125" style="11" bestFit="1" customWidth="1"/>
    <col min="21" max="21" width="29" style="11" bestFit="1" customWidth="1"/>
    <col min="22" max="22" width="11.42578125" style="17" bestFit="1" customWidth="1"/>
    <col min="23" max="16384" width="8.85546875" style="11"/>
  </cols>
  <sheetData>
    <row r="1" spans="1:22" ht="20.100000000000001" customHeight="1" x14ac:dyDescent="0.25">
      <c r="A1" s="18" t="s">
        <v>107</v>
      </c>
      <c r="B1" s="18" t="s">
        <v>108</v>
      </c>
      <c r="C1" s="18" t="s">
        <v>0</v>
      </c>
      <c r="D1" s="18" t="s">
        <v>1</v>
      </c>
      <c r="E1" s="18" t="s">
        <v>217</v>
      </c>
      <c r="F1" s="18" t="s">
        <v>5</v>
      </c>
      <c r="G1" s="18" t="s">
        <v>208</v>
      </c>
      <c r="H1" s="18" t="s">
        <v>209</v>
      </c>
      <c r="I1" s="18" t="s">
        <v>100</v>
      </c>
      <c r="J1" s="18" t="s">
        <v>101</v>
      </c>
      <c r="K1" s="18" t="s">
        <v>105</v>
      </c>
      <c r="L1" s="18" t="s">
        <v>106</v>
      </c>
      <c r="M1" s="19" t="s">
        <v>2</v>
      </c>
      <c r="N1" s="19" t="s">
        <v>252</v>
      </c>
      <c r="O1" s="18" t="s">
        <v>7</v>
      </c>
      <c r="P1" s="20" t="s">
        <v>8</v>
      </c>
      <c r="Q1" s="18" t="s">
        <v>10</v>
      </c>
      <c r="R1" s="18" t="s">
        <v>9</v>
      </c>
      <c r="S1" s="18" t="s">
        <v>3</v>
      </c>
      <c r="T1" s="18" t="s">
        <v>4</v>
      </c>
      <c r="U1" s="21" t="s">
        <v>112</v>
      </c>
      <c r="V1" s="11"/>
    </row>
    <row r="2" spans="1:22" ht="20.100000000000001" customHeight="1" x14ac:dyDescent="0.25">
      <c r="A2" s="30" t="s">
        <v>210</v>
      </c>
      <c r="B2" s="30" t="s">
        <v>210</v>
      </c>
      <c r="C2" s="31" t="s">
        <v>11</v>
      </c>
      <c r="D2" s="50" t="s">
        <v>221</v>
      </c>
      <c r="E2" s="50" t="s">
        <v>222</v>
      </c>
      <c r="F2" s="50" t="s">
        <v>6</v>
      </c>
      <c r="G2" s="31" t="s">
        <v>78</v>
      </c>
      <c r="H2" s="31" t="s">
        <v>79</v>
      </c>
      <c r="I2" s="31" t="s">
        <v>210</v>
      </c>
      <c r="J2" s="31" t="s">
        <v>210</v>
      </c>
      <c r="K2" s="12" t="s">
        <v>93</v>
      </c>
      <c r="L2" s="31" t="s">
        <v>93</v>
      </c>
      <c r="M2" s="32" t="s">
        <v>268</v>
      </c>
      <c r="N2" s="31">
        <v>1</v>
      </c>
      <c r="O2" s="31">
        <v>10160</v>
      </c>
      <c r="P2" s="33" t="s">
        <v>12</v>
      </c>
      <c r="Q2" s="39">
        <v>45500</v>
      </c>
      <c r="R2" s="38" t="s">
        <v>210</v>
      </c>
      <c r="S2" s="34">
        <v>45514</v>
      </c>
      <c r="T2" s="31" t="s">
        <v>272</v>
      </c>
      <c r="U2" s="31" t="s">
        <v>116</v>
      </c>
      <c r="V2" s="11"/>
    </row>
    <row r="3" spans="1:22" ht="20.100000000000001" customHeight="1" x14ac:dyDescent="0.25">
      <c r="A3" s="35" t="s">
        <v>210</v>
      </c>
      <c r="B3" s="35" t="s">
        <v>210</v>
      </c>
      <c r="C3" s="32" t="s">
        <v>13</v>
      </c>
      <c r="D3" s="12" t="s">
        <v>223</v>
      </c>
      <c r="E3" s="12" t="s">
        <v>224</v>
      </c>
      <c r="F3" s="12" t="s">
        <v>6</v>
      </c>
      <c r="G3" s="32" t="s">
        <v>78</v>
      </c>
      <c r="H3" s="32" t="s">
        <v>79</v>
      </c>
      <c r="I3" s="31" t="s">
        <v>210</v>
      </c>
      <c r="J3" s="31" t="s">
        <v>210</v>
      </c>
      <c r="K3" s="32" t="s">
        <v>94</v>
      </c>
      <c r="L3" s="32" t="s">
        <v>94</v>
      </c>
      <c r="M3" s="32" t="s">
        <v>256</v>
      </c>
      <c r="N3" s="31">
        <v>1</v>
      </c>
      <c r="O3" s="32">
        <v>10160</v>
      </c>
      <c r="P3" s="36">
        <v>9749</v>
      </c>
      <c r="Q3" s="39">
        <v>45501</v>
      </c>
      <c r="R3" s="38" t="s">
        <v>210</v>
      </c>
      <c r="S3" s="37">
        <v>45515</v>
      </c>
      <c r="T3" s="31" t="s">
        <v>272</v>
      </c>
      <c r="U3" s="31" t="s">
        <v>116</v>
      </c>
      <c r="V3" s="11"/>
    </row>
    <row r="4" spans="1:22" ht="20.100000000000001" customHeight="1" x14ac:dyDescent="0.25">
      <c r="A4" s="35" t="s">
        <v>210</v>
      </c>
      <c r="B4" s="35" t="s">
        <v>210</v>
      </c>
      <c r="C4" s="32" t="s">
        <v>14</v>
      </c>
      <c r="D4" s="12" t="s">
        <v>225</v>
      </c>
      <c r="E4" s="12" t="s">
        <v>226</v>
      </c>
      <c r="F4" s="12" t="s">
        <v>6</v>
      </c>
      <c r="G4" s="32" t="s">
        <v>78</v>
      </c>
      <c r="H4" s="32" t="s">
        <v>91</v>
      </c>
      <c r="I4" s="12" t="s">
        <v>83</v>
      </c>
      <c r="J4" s="32">
        <v>90</v>
      </c>
      <c r="K4" s="32" t="s">
        <v>96</v>
      </c>
      <c r="L4" s="32" t="s">
        <v>96</v>
      </c>
      <c r="M4" s="32" t="s">
        <v>249</v>
      </c>
      <c r="N4" s="32">
        <v>1</v>
      </c>
      <c r="O4" s="32">
        <v>11455</v>
      </c>
      <c r="P4" s="36">
        <v>10067.68</v>
      </c>
      <c r="Q4" s="39">
        <v>45500</v>
      </c>
      <c r="R4" s="38" t="s">
        <v>210</v>
      </c>
      <c r="S4" s="32" t="s">
        <v>210</v>
      </c>
      <c r="T4" s="32" t="s">
        <v>20</v>
      </c>
      <c r="U4" s="32" t="s">
        <v>113</v>
      </c>
      <c r="V4" s="11"/>
    </row>
    <row r="5" spans="1:22" ht="20.100000000000001" customHeight="1" x14ac:dyDescent="0.25">
      <c r="A5" s="35" t="s">
        <v>210</v>
      </c>
      <c r="B5" s="35" t="s">
        <v>210</v>
      </c>
      <c r="C5" s="32" t="s">
        <v>15</v>
      </c>
      <c r="D5" s="12" t="s">
        <v>16</v>
      </c>
      <c r="E5" s="12" t="s">
        <v>16</v>
      </c>
      <c r="F5" s="12" t="s">
        <v>6</v>
      </c>
      <c r="G5" s="32" t="s">
        <v>171</v>
      </c>
      <c r="H5" s="32" t="s">
        <v>171</v>
      </c>
      <c r="I5" s="31" t="s">
        <v>210</v>
      </c>
      <c r="J5" s="31" t="s">
        <v>210</v>
      </c>
      <c r="K5" s="31" t="s">
        <v>210</v>
      </c>
      <c r="L5" s="31" t="s">
        <v>210</v>
      </c>
      <c r="M5" s="32" t="s">
        <v>261</v>
      </c>
      <c r="N5" s="32">
        <v>1</v>
      </c>
      <c r="O5" s="32">
        <v>8642</v>
      </c>
      <c r="P5" s="36" t="s">
        <v>12</v>
      </c>
      <c r="Q5" s="38">
        <v>45529</v>
      </c>
      <c r="R5" s="38">
        <v>45542</v>
      </c>
      <c r="S5" s="38">
        <v>45531</v>
      </c>
      <c r="T5" s="31" t="s">
        <v>272</v>
      </c>
      <c r="U5" s="31" t="s">
        <v>116</v>
      </c>
      <c r="V5" s="11"/>
    </row>
    <row r="6" spans="1:22" ht="20.100000000000001" customHeight="1" x14ac:dyDescent="0.25">
      <c r="A6" s="35" t="s">
        <v>210</v>
      </c>
      <c r="B6" s="35" t="s">
        <v>210</v>
      </c>
      <c r="C6" s="32" t="s">
        <v>17</v>
      </c>
      <c r="D6" s="12" t="s">
        <v>225</v>
      </c>
      <c r="E6" s="12" t="s">
        <v>226</v>
      </c>
      <c r="F6" s="12" t="s">
        <v>6</v>
      </c>
      <c r="G6" s="32" t="s">
        <v>78</v>
      </c>
      <c r="H6" s="32" t="s">
        <v>91</v>
      </c>
      <c r="I6" s="32" t="s">
        <v>80</v>
      </c>
      <c r="J6" s="32">
        <v>100</v>
      </c>
      <c r="K6" s="32" t="s">
        <v>98</v>
      </c>
      <c r="L6" s="31" t="s">
        <v>210</v>
      </c>
      <c r="M6" s="32" t="s">
        <v>255</v>
      </c>
      <c r="N6" s="32">
        <v>1</v>
      </c>
      <c r="O6" s="32">
        <v>12833</v>
      </c>
      <c r="P6" s="36">
        <v>12974.22</v>
      </c>
      <c r="Q6" s="38">
        <v>45520</v>
      </c>
      <c r="R6" s="38">
        <v>45535</v>
      </c>
      <c r="S6" s="32" t="s">
        <v>210</v>
      </c>
      <c r="T6" s="32" t="s">
        <v>20</v>
      </c>
      <c r="U6" s="32" t="s">
        <v>113</v>
      </c>
      <c r="V6" s="11"/>
    </row>
    <row r="7" spans="1:22" ht="20.100000000000001" customHeight="1" x14ac:dyDescent="0.25">
      <c r="A7" s="35" t="s">
        <v>210</v>
      </c>
      <c r="B7" s="35" t="s">
        <v>210</v>
      </c>
      <c r="C7" s="32" t="s">
        <v>18</v>
      </c>
      <c r="D7" s="12" t="s">
        <v>210</v>
      </c>
      <c r="E7" s="12" t="s">
        <v>210</v>
      </c>
      <c r="F7" s="12" t="s">
        <v>18</v>
      </c>
      <c r="G7" s="32" t="s">
        <v>88</v>
      </c>
      <c r="H7" s="12" t="s">
        <v>90</v>
      </c>
      <c r="I7" s="31" t="s">
        <v>210</v>
      </c>
      <c r="J7" s="31" t="s">
        <v>210</v>
      </c>
      <c r="K7" s="32" t="s">
        <v>98</v>
      </c>
      <c r="L7" s="31" t="s">
        <v>210</v>
      </c>
      <c r="M7" s="32" t="s">
        <v>254</v>
      </c>
      <c r="N7" s="32">
        <v>1</v>
      </c>
      <c r="O7" s="32">
        <v>14550</v>
      </c>
      <c r="P7" s="36" t="s">
        <v>12</v>
      </c>
      <c r="Q7" s="38">
        <v>45518</v>
      </c>
      <c r="R7" s="38">
        <v>45538</v>
      </c>
      <c r="S7" s="38">
        <v>45540</v>
      </c>
      <c r="T7" s="31" t="s">
        <v>272</v>
      </c>
      <c r="U7" s="31" t="s">
        <v>116</v>
      </c>
      <c r="V7" s="11"/>
    </row>
    <row r="8" spans="1:22" ht="20.100000000000001" customHeight="1" x14ac:dyDescent="0.25">
      <c r="A8" s="35" t="s">
        <v>210</v>
      </c>
      <c r="B8" s="35" t="s">
        <v>210</v>
      </c>
      <c r="C8" s="32" t="s">
        <v>19</v>
      </c>
      <c r="D8" s="12" t="s">
        <v>227</v>
      </c>
      <c r="E8" s="12" t="s">
        <v>228</v>
      </c>
      <c r="F8" s="12" t="s">
        <v>164</v>
      </c>
      <c r="G8" s="32" t="s">
        <v>88</v>
      </c>
      <c r="H8" s="12" t="s">
        <v>90</v>
      </c>
      <c r="I8" s="31" t="s">
        <v>210</v>
      </c>
      <c r="J8" s="31" t="s">
        <v>210</v>
      </c>
      <c r="K8" s="32" t="s">
        <v>98</v>
      </c>
      <c r="L8" s="31" t="s">
        <v>210</v>
      </c>
      <c r="M8" s="32" t="s">
        <v>254</v>
      </c>
      <c r="N8" s="32">
        <v>1</v>
      </c>
      <c r="O8" s="32">
        <v>12000</v>
      </c>
      <c r="P8" s="36">
        <v>12000</v>
      </c>
      <c r="Q8" s="38">
        <v>45521</v>
      </c>
      <c r="R8" s="38">
        <v>45524</v>
      </c>
      <c r="S8" s="38">
        <v>45523</v>
      </c>
      <c r="T8" s="32" t="s">
        <v>272</v>
      </c>
      <c r="U8" s="31" t="s">
        <v>116</v>
      </c>
      <c r="V8" s="11"/>
    </row>
    <row r="9" spans="1:22" ht="20.100000000000001" customHeight="1" x14ac:dyDescent="0.25">
      <c r="A9" s="35" t="s">
        <v>210</v>
      </c>
      <c r="B9" s="35" t="s">
        <v>210</v>
      </c>
      <c r="C9" s="32" t="s">
        <v>211</v>
      </c>
      <c r="D9" s="12" t="s">
        <v>229</v>
      </c>
      <c r="E9" s="12" t="s">
        <v>222</v>
      </c>
      <c r="F9" s="12" t="s">
        <v>6</v>
      </c>
      <c r="G9" s="32" t="s">
        <v>78</v>
      </c>
      <c r="H9" s="32" t="s">
        <v>81</v>
      </c>
      <c r="I9" s="31" t="s">
        <v>210</v>
      </c>
      <c r="J9" s="31" t="s">
        <v>210</v>
      </c>
      <c r="K9" s="32" t="s">
        <v>93</v>
      </c>
      <c r="L9" s="31" t="s">
        <v>210</v>
      </c>
      <c r="M9" s="32" t="s">
        <v>262</v>
      </c>
      <c r="N9" s="32">
        <v>1</v>
      </c>
      <c r="O9" s="32">
        <v>7228</v>
      </c>
      <c r="P9" s="36" t="s">
        <v>12</v>
      </c>
      <c r="Q9" s="38">
        <v>45529</v>
      </c>
      <c r="R9" s="38">
        <v>45538</v>
      </c>
      <c r="S9" s="38">
        <v>45545</v>
      </c>
      <c r="T9" s="31" t="s">
        <v>272</v>
      </c>
      <c r="U9" s="31" t="s">
        <v>116</v>
      </c>
      <c r="V9" s="11"/>
    </row>
    <row r="10" spans="1:22" ht="20.100000000000001" customHeight="1" x14ac:dyDescent="0.25">
      <c r="A10" s="35" t="s">
        <v>210</v>
      </c>
      <c r="B10" s="35" t="s">
        <v>210</v>
      </c>
      <c r="C10" s="32" t="s">
        <v>21</v>
      </c>
      <c r="D10" s="12" t="s">
        <v>22</v>
      </c>
      <c r="E10" s="12" t="s">
        <v>22</v>
      </c>
      <c r="F10" s="12" t="s">
        <v>23</v>
      </c>
      <c r="G10" s="32" t="s">
        <v>85</v>
      </c>
      <c r="H10" s="32" t="s">
        <v>87</v>
      </c>
      <c r="I10" s="31" t="s">
        <v>210</v>
      </c>
      <c r="J10" s="31" t="s">
        <v>210</v>
      </c>
      <c r="K10" s="31" t="s">
        <v>210</v>
      </c>
      <c r="L10" s="31" t="s">
        <v>210</v>
      </c>
      <c r="M10" s="32" t="s">
        <v>246</v>
      </c>
      <c r="N10" s="32">
        <v>1</v>
      </c>
      <c r="O10" s="32">
        <v>22000</v>
      </c>
      <c r="P10" s="36">
        <v>22000</v>
      </c>
      <c r="Q10" s="38">
        <v>45523</v>
      </c>
      <c r="R10" s="38">
        <v>45536</v>
      </c>
      <c r="S10" s="39">
        <v>45552</v>
      </c>
      <c r="T10" s="32" t="s">
        <v>210</v>
      </c>
      <c r="U10" s="31" t="s">
        <v>116</v>
      </c>
      <c r="V10" s="11"/>
    </row>
    <row r="11" spans="1:22" ht="20.100000000000001" customHeight="1" x14ac:dyDescent="0.25">
      <c r="A11" s="35" t="s">
        <v>210</v>
      </c>
      <c r="B11" s="35" t="s">
        <v>210</v>
      </c>
      <c r="C11" s="32" t="s">
        <v>21</v>
      </c>
      <c r="D11" s="12" t="s">
        <v>22</v>
      </c>
      <c r="E11" s="12" t="s">
        <v>22</v>
      </c>
      <c r="F11" s="12" t="s">
        <v>21</v>
      </c>
      <c r="G11" s="32" t="s">
        <v>88</v>
      </c>
      <c r="H11" s="32" t="s">
        <v>86</v>
      </c>
      <c r="I11" s="31" t="s">
        <v>210</v>
      </c>
      <c r="J11" s="31" t="s">
        <v>210</v>
      </c>
      <c r="K11" s="31" t="s">
        <v>210</v>
      </c>
      <c r="L11" s="31" t="s">
        <v>210</v>
      </c>
      <c r="M11" s="45" t="s">
        <v>264</v>
      </c>
      <c r="N11" s="32">
        <v>2</v>
      </c>
      <c r="O11" s="32">
        <v>16000</v>
      </c>
      <c r="P11" s="36">
        <v>16000</v>
      </c>
      <c r="Q11" s="38" t="s">
        <v>210</v>
      </c>
      <c r="R11" s="38" t="s">
        <v>210</v>
      </c>
      <c r="S11" s="38" t="s">
        <v>210</v>
      </c>
      <c r="T11" s="32" t="s">
        <v>114</v>
      </c>
      <c r="U11" s="32" t="s">
        <v>114</v>
      </c>
      <c r="V11" s="11"/>
    </row>
    <row r="12" spans="1:22" ht="20.100000000000001" customHeight="1" x14ac:dyDescent="0.25">
      <c r="A12" s="35" t="s">
        <v>210</v>
      </c>
      <c r="B12" s="35" t="s">
        <v>210</v>
      </c>
      <c r="C12" s="32" t="s">
        <v>21</v>
      </c>
      <c r="D12" s="12" t="s">
        <v>24</v>
      </c>
      <c r="E12" s="12" t="s">
        <v>24</v>
      </c>
      <c r="F12" s="12" t="s">
        <v>23</v>
      </c>
      <c r="G12" s="32" t="s">
        <v>88</v>
      </c>
      <c r="H12" s="32" t="s">
        <v>86</v>
      </c>
      <c r="I12" s="31" t="s">
        <v>210</v>
      </c>
      <c r="J12" s="31" t="s">
        <v>210</v>
      </c>
      <c r="K12" s="31" t="s">
        <v>210</v>
      </c>
      <c r="L12" s="31" t="s">
        <v>210</v>
      </c>
      <c r="M12" s="45" t="s">
        <v>265</v>
      </c>
      <c r="N12" s="32">
        <v>2</v>
      </c>
      <c r="O12" s="32">
        <v>6000</v>
      </c>
      <c r="P12" s="36">
        <v>12000</v>
      </c>
      <c r="Q12" s="38">
        <v>45529</v>
      </c>
      <c r="R12" s="38">
        <v>45550</v>
      </c>
      <c r="S12" s="39">
        <v>45552</v>
      </c>
      <c r="T12" s="12" t="s">
        <v>274</v>
      </c>
      <c r="U12" s="31" t="s">
        <v>116</v>
      </c>
      <c r="V12" s="11"/>
    </row>
    <row r="13" spans="1:22" ht="20.100000000000001" customHeight="1" x14ac:dyDescent="0.25">
      <c r="A13" s="35" t="s">
        <v>210</v>
      </c>
      <c r="B13" s="35" t="s">
        <v>210</v>
      </c>
      <c r="C13" s="32" t="s">
        <v>21</v>
      </c>
      <c r="D13" s="12" t="s">
        <v>24</v>
      </c>
      <c r="E13" s="12" t="s">
        <v>24</v>
      </c>
      <c r="F13" s="12" t="s">
        <v>23</v>
      </c>
      <c r="G13" s="32" t="s">
        <v>88</v>
      </c>
      <c r="H13" s="32" t="s">
        <v>86</v>
      </c>
      <c r="I13" s="31" t="s">
        <v>210</v>
      </c>
      <c r="J13" s="31" t="s">
        <v>210</v>
      </c>
      <c r="K13" s="31" t="s">
        <v>210</v>
      </c>
      <c r="L13" s="31" t="s">
        <v>210</v>
      </c>
      <c r="M13" s="45" t="s">
        <v>265</v>
      </c>
      <c r="N13" s="32">
        <v>2</v>
      </c>
      <c r="O13" s="32">
        <v>6000</v>
      </c>
      <c r="P13" s="36">
        <v>12000</v>
      </c>
      <c r="Q13" s="38">
        <v>45529</v>
      </c>
      <c r="R13" s="38">
        <v>45550</v>
      </c>
      <c r="S13" s="39">
        <v>45552</v>
      </c>
      <c r="T13" s="12" t="s">
        <v>274</v>
      </c>
      <c r="U13" s="31" t="s">
        <v>116</v>
      </c>
      <c r="V13" s="11"/>
    </row>
    <row r="14" spans="1:22" ht="20.100000000000001" customHeight="1" x14ac:dyDescent="0.25">
      <c r="A14" s="35" t="s">
        <v>210</v>
      </c>
      <c r="B14" s="35" t="s">
        <v>210</v>
      </c>
      <c r="C14" s="32" t="s">
        <v>25</v>
      </c>
      <c r="D14" s="12" t="s">
        <v>26</v>
      </c>
      <c r="E14" s="12" t="s">
        <v>26</v>
      </c>
      <c r="F14" s="12" t="s">
        <v>6</v>
      </c>
      <c r="G14" s="32" t="s">
        <v>78</v>
      </c>
      <c r="H14" s="32" t="s">
        <v>91</v>
      </c>
      <c r="I14" s="32" t="s">
        <v>80</v>
      </c>
      <c r="J14" s="32">
        <v>80</v>
      </c>
      <c r="K14" s="32" t="s">
        <v>93</v>
      </c>
      <c r="L14" s="31" t="s">
        <v>210</v>
      </c>
      <c r="M14" s="32" t="s">
        <v>255</v>
      </c>
      <c r="N14" s="32">
        <v>1</v>
      </c>
      <c r="O14" s="32">
        <v>10499</v>
      </c>
      <c r="P14" s="36">
        <v>8924</v>
      </c>
      <c r="Q14" s="38">
        <v>45536</v>
      </c>
      <c r="R14" s="38">
        <v>45551</v>
      </c>
      <c r="S14" s="38">
        <v>45543</v>
      </c>
      <c r="T14" s="31" t="s">
        <v>272</v>
      </c>
      <c r="U14" s="31" t="s">
        <v>116</v>
      </c>
      <c r="V14" s="11"/>
    </row>
    <row r="15" spans="1:22" ht="20.100000000000001" customHeight="1" x14ac:dyDescent="0.2">
      <c r="A15" s="22">
        <v>1404561</v>
      </c>
      <c r="B15" s="22">
        <v>1199284</v>
      </c>
      <c r="C15" s="12" t="s">
        <v>33</v>
      </c>
      <c r="D15" s="12" t="s">
        <v>229</v>
      </c>
      <c r="E15" s="12" t="s">
        <v>222</v>
      </c>
      <c r="F15" s="12" t="s">
        <v>6</v>
      </c>
      <c r="G15" s="12" t="s">
        <v>78</v>
      </c>
      <c r="H15" s="12" t="s">
        <v>81</v>
      </c>
      <c r="I15" s="12" t="s">
        <v>80</v>
      </c>
      <c r="J15" s="32">
        <v>80</v>
      </c>
      <c r="K15" s="12" t="s">
        <v>93</v>
      </c>
      <c r="L15" s="15" t="s">
        <v>93</v>
      </c>
      <c r="M15" s="32" t="s">
        <v>267</v>
      </c>
      <c r="N15" s="15">
        <v>1</v>
      </c>
      <c r="O15" s="12">
        <v>7295</v>
      </c>
      <c r="P15" s="13">
        <v>5895</v>
      </c>
      <c r="Q15" s="14">
        <v>45540</v>
      </c>
      <c r="R15" s="14">
        <v>45549</v>
      </c>
      <c r="S15" s="32" t="s">
        <v>210</v>
      </c>
      <c r="T15" s="12" t="s">
        <v>114</v>
      </c>
      <c r="U15" s="12" t="s">
        <v>114</v>
      </c>
      <c r="V15" s="11"/>
    </row>
    <row r="16" spans="1:22" ht="20.100000000000001" customHeight="1" x14ac:dyDescent="0.2">
      <c r="A16" s="22">
        <v>1401137</v>
      </c>
      <c r="B16" s="22">
        <v>1197500</v>
      </c>
      <c r="C16" s="12" t="s">
        <v>31</v>
      </c>
      <c r="D16" s="12" t="s">
        <v>32</v>
      </c>
      <c r="E16" s="12" t="s">
        <v>32</v>
      </c>
      <c r="F16" s="12" t="s">
        <v>6</v>
      </c>
      <c r="G16" s="32" t="s">
        <v>171</v>
      </c>
      <c r="H16" s="12" t="s">
        <v>109</v>
      </c>
      <c r="I16" s="31" t="s">
        <v>210</v>
      </c>
      <c r="J16" s="31" t="s">
        <v>210</v>
      </c>
      <c r="K16" s="31" t="s">
        <v>210</v>
      </c>
      <c r="L16" s="31" t="s">
        <v>210</v>
      </c>
      <c r="M16" s="15" t="s">
        <v>260</v>
      </c>
      <c r="N16" s="15">
        <v>1</v>
      </c>
      <c r="O16" s="12">
        <v>7849</v>
      </c>
      <c r="P16" s="13" t="s">
        <v>12</v>
      </c>
      <c r="Q16" s="14">
        <v>45539</v>
      </c>
      <c r="R16" s="14">
        <v>45551</v>
      </c>
      <c r="S16" s="14">
        <v>45560</v>
      </c>
      <c r="T16" s="31" t="s">
        <v>272</v>
      </c>
      <c r="U16" s="12" t="s">
        <v>121</v>
      </c>
      <c r="V16" s="11"/>
    </row>
    <row r="17" spans="1:22" ht="20.100000000000001" customHeight="1" x14ac:dyDescent="0.25">
      <c r="A17" s="35" t="s">
        <v>210</v>
      </c>
      <c r="B17" s="35" t="s">
        <v>210</v>
      </c>
      <c r="C17" s="31" t="s">
        <v>28</v>
      </c>
      <c r="D17" s="12" t="s">
        <v>227</v>
      </c>
      <c r="E17" s="50" t="s">
        <v>228</v>
      </c>
      <c r="F17" s="50" t="s">
        <v>29</v>
      </c>
      <c r="G17" s="40" t="s">
        <v>78</v>
      </c>
      <c r="H17" s="31" t="s">
        <v>91</v>
      </c>
      <c r="I17" s="32" t="s">
        <v>83</v>
      </c>
      <c r="J17" s="32">
        <v>120</v>
      </c>
      <c r="K17" s="32" t="s">
        <v>94</v>
      </c>
      <c r="L17" s="32" t="s">
        <v>94</v>
      </c>
      <c r="M17" s="32" t="s">
        <v>249</v>
      </c>
      <c r="N17" s="32">
        <v>2</v>
      </c>
      <c r="O17" s="32">
        <v>6180</v>
      </c>
      <c r="P17" s="33">
        <v>9700</v>
      </c>
      <c r="Q17" s="39">
        <v>45538</v>
      </c>
      <c r="R17" s="39">
        <v>45551</v>
      </c>
      <c r="S17" s="39">
        <v>45550</v>
      </c>
      <c r="T17" s="12" t="s">
        <v>274</v>
      </c>
      <c r="U17" s="31" t="s">
        <v>116</v>
      </c>
      <c r="V17" s="11"/>
    </row>
    <row r="18" spans="1:22" ht="20.100000000000001" customHeight="1" x14ac:dyDescent="0.25">
      <c r="A18" s="35" t="s">
        <v>210</v>
      </c>
      <c r="B18" s="35" t="s">
        <v>210</v>
      </c>
      <c r="C18" s="32" t="s">
        <v>28</v>
      </c>
      <c r="D18" s="12" t="s">
        <v>227</v>
      </c>
      <c r="E18" s="12" t="s">
        <v>228</v>
      </c>
      <c r="F18" s="12" t="s">
        <v>29</v>
      </c>
      <c r="G18" s="40" t="s">
        <v>78</v>
      </c>
      <c r="H18" s="32" t="s">
        <v>91</v>
      </c>
      <c r="I18" s="12" t="s">
        <v>83</v>
      </c>
      <c r="J18" s="32">
        <v>120</v>
      </c>
      <c r="K18" s="32" t="s">
        <v>94</v>
      </c>
      <c r="L18" s="32" t="s">
        <v>94</v>
      </c>
      <c r="M18" s="32" t="s">
        <v>249</v>
      </c>
      <c r="N18" s="32">
        <v>2</v>
      </c>
      <c r="O18" s="32">
        <v>6180</v>
      </c>
      <c r="P18" s="36">
        <v>9700</v>
      </c>
      <c r="Q18" s="38">
        <v>45538</v>
      </c>
      <c r="R18" s="38">
        <v>45551</v>
      </c>
      <c r="S18" s="39">
        <v>45550</v>
      </c>
      <c r="T18" s="12" t="s">
        <v>274</v>
      </c>
      <c r="U18" s="31" t="s">
        <v>116</v>
      </c>
      <c r="V18" s="11"/>
    </row>
    <row r="19" spans="1:22" ht="20.100000000000001" customHeight="1" x14ac:dyDescent="0.2">
      <c r="A19" s="41">
        <v>1400149</v>
      </c>
      <c r="B19" s="41">
        <v>1196947</v>
      </c>
      <c r="C19" s="32" t="s">
        <v>212</v>
      </c>
      <c r="D19" s="12" t="s">
        <v>30</v>
      </c>
      <c r="E19" s="12" t="s">
        <v>30</v>
      </c>
      <c r="F19" s="12" t="s">
        <v>6</v>
      </c>
      <c r="G19" s="32" t="s">
        <v>78</v>
      </c>
      <c r="H19" s="32" t="s">
        <v>91</v>
      </c>
      <c r="I19" s="32" t="s">
        <v>82</v>
      </c>
      <c r="J19" s="32">
        <v>80</v>
      </c>
      <c r="K19" s="32" t="s">
        <v>93</v>
      </c>
      <c r="L19" s="31" t="s">
        <v>210</v>
      </c>
      <c r="M19" s="32" t="s">
        <v>257</v>
      </c>
      <c r="N19" s="32">
        <v>1</v>
      </c>
      <c r="O19" s="32">
        <v>11199</v>
      </c>
      <c r="P19" s="36">
        <v>11310</v>
      </c>
      <c r="Q19" s="38">
        <v>45539</v>
      </c>
      <c r="R19" s="38">
        <v>45553</v>
      </c>
      <c r="S19" s="32" t="s">
        <v>210</v>
      </c>
      <c r="T19" s="12" t="s">
        <v>114</v>
      </c>
      <c r="U19" s="32" t="s">
        <v>114</v>
      </c>
      <c r="V19" s="11"/>
    </row>
    <row r="20" spans="1:22" ht="20.100000000000001" customHeight="1" x14ac:dyDescent="0.2">
      <c r="A20" s="22">
        <v>1408099</v>
      </c>
      <c r="B20" s="22">
        <v>1201057</v>
      </c>
      <c r="C20" s="12" t="s">
        <v>19</v>
      </c>
      <c r="D20" s="12" t="s">
        <v>34</v>
      </c>
      <c r="E20" s="12" t="s">
        <v>34</v>
      </c>
      <c r="F20" s="12" t="s">
        <v>6</v>
      </c>
      <c r="G20" s="12" t="s">
        <v>78</v>
      </c>
      <c r="H20" s="12" t="s">
        <v>81</v>
      </c>
      <c r="I20" s="12" t="s">
        <v>103</v>
      </c>
      <c r="J20" s="32">
        <v>80</v>
      </c>
      <c r="K20" s="12" t="s">
        <v>93</v>
      </c>
      <c r="L20" s="15" t="s">
        <v>93</v>
      </c>
      <c r="M20" s="32" t="s">
        <v>267</v>
      </c>
      <c r="N20" s="15">
        <v>4</v>
      </c>
      <c r="O20" s="12">
        <v>7987</v>
      </c>
      <c r="P20" s="13" t="s">
        <v>12</v>
      </c>
      <c r="Q20" s="14">
        <v>45541</v>
      </c>
      <c r="R20" s="14">
        <v>45551</v>
      </c>
      <c r="S20" s="14">
        <v>45556</v>
      </c>
      <c r="T20" s="12" t="s">
        <v>274</v>
      </c>
      <c r="U20" s="12" t="s">
        <v>116</v>
      </c>
      <c r="V20" s="11"/>
    </row>
    <row r="21" spans="1:22" ht="20.100000000000001" customHeight="1" x14ac:dyDescent="0.25">
      <c r="A21" s="35" t="s">
        <v>210</v>
      </c>
      <c r="B21" s="35" t="s">
        <v>210</v>
      </c>
      <c r="C21" s="31" t="s">
        <v>23</v>
      </c>
      <c r="D21" s="50" t="s">
        <v>22</v>
      </c>
      <c r="E21" s="50" t="s">
        <v>22</v>
      </c>
      <c r="F21" s="50" t="s">
        <v>23</v>
      </c>
      <c r="G21" s="31" t="s">
        <v>89</v>
      </c>
      <c r="H21" s="32" t="s">
        <v>127</v>
      </c>
      <c r="I21" s="31" t="s">
        <v>210</v>
      </c>
      <c r="J21" s="31" t="s">
        <v>210</v>
      </c>
      <c r="K21" s="31" t="s">
        <v>210</v>
      </c>
      <c r="L21" s="31" t="s">
        <v>210</v>
      </c>
      <c r="M21" s="45" t="s">
        <v>248</v>
      </c>
      <c r="N21" s="31">
        <v>2</v>
      </c>
      <c r="O21" s="31">
        <v>9300</v>
      </c>
      <c r="P21" s="33">
        <v>9300</v>
      </c>
      <c r="Q21" s="39">
        <v>45539</v>
      </c>
      <c r="R21" s="39">
        <v>45550</v>
      </c>
      <c r="S21" s="39">
        <v>45552</v>
      </c>
      <c r="T21" s="12" t="s">
        <v>274</v>
      </c>
      <c r="U21" s="31" t="s">
        <v>116</v>
      </c>
      <c r="V21" s="11"/>
    </row>
    <row r="22" spans="1:22" ht="20.100000000000001" customHeight="1" x14ac:dyDescent="0.2">
      <c r="A22" s="22">
        <v>1408098</v>
      </c>
      <c r="B22" s="22">
        <v>1201057</v>
      </c>
      <c r="C22" s="12" t="s">
        <v>19</v>
      </c>
      <c r="D22" s="12" t="s">
        <v>34</v>
      </c>
      <c r="E22" s="12" t="s">
        <v>34</v>
      </c>
      <c r="F22" s="12" t="s">
        <v>6</v>
      </c>
      <c r="G22" s="12" t="s">
        <v>78</v>
      </c>
      <c r="H22" s="12" t="s">
        <v>81</v>
      </c>
      <c r="I22" s="12" t="s">
        <v>103</v>
      </c>
      <c r="J22" s="32">
        <v>80</v>
      </c>
      <c r="K22" s="12" t="s">
        <v>93</v>
      </c>
      <c r="L22" s="15" t="s">
        <v>93</v>
      </c>
      <c r="M22" s="32" t="s">
        <v>267</v>
      </c>
      <c r="N22" s="15">
        <v>4</v>
      </c>
      <c r="O22" s="12">
        <v>7987</v>
      </c>
      <c r="P22" s="13" t="s">
        <v>12</v>
      </c>
      <c r="Q22" s="14">
        <v>45541</v>
      </c>
      <c r="R22" s="14">
        <v>45551</v>
      </c>
      <c r="S22" s="14">
        <v>45556</v>
      </c>
      <c r="T22" s="12" t="s">
        <v>274</v>
      </c>
      <c r="U22" s="12" t="s">
        <v>116</v>
      </c>
      <c r="V22" s="11"/>
    </row>
    <row r="23" spans="1:22" ht="20.100000000000001" customHeight="1" x14ac:dyDescent="0.2">
      <c r="A23" s="22">
        <v>1408100</v>
      </c>
      <c r="B23" s="22">
        <v>1201057</v>
      </c>
      <c r="C23" s="12" t="s">
        <v>19</v>
      </c>
      <c r="D23" s="12" t="s">
        <v>34</v>
      </c>
      <c r="E23" s="12" t="s">
        <v>34</v>
      </c>
      <c r="F23" s="12" t="s">
        <v>6</v>
      </c>
      <c r="G23" s="12" t="s">
        <v>78</v>
      </c>
      <c r="H23" s="12" t="s">
        <v>81</v>
      </c>
      <c r="I23" s="12" t="s">
        <v>103</v>
      </c>
      <c r="J23" s="32">
        <v>80</v>
      </c>
      <c r="K23" s="12" t="s">
        <v>93</v>
      </c>
      <c r="L23" s="15" t="s">
        <v>93</v>
      </c>
      <c r="M23" s="32" t="s">
        <v>267</v>
      </c>
      <c r="N23" s="15">
        <v>4</v>
      </c>
      <c r="O23" s="12">
        <v>7987</v>
      </c>
      <c r="P23" s="13" t="s">
        <v>12</v>
      </c>
      <c r="Q23" s="14">
        <v>45541</v>
      </c>
      <c r="R23" s="14">
        <v>45551</v>
      </c>
      <c r="S23" s="14">
        <v>45556</v>
      </c>
      <c r="T23" s="12" t="s">
        <v>274</v>
      </c>
      <c r="U23" s="12" t="s">
        <v>116</v>
      </c>
      <c r="V23" s="11"/>
    </row>
    <row r="24" spans="1:22" ht="20.100000000000001" customHeight="1" x14ac:dyDescent="0.2">
      <c r="A24" s="22">
        <v>1408101</v>
      </c>
      <c r="B24" s="22">
        <v>1201057</v>
      </c>
      <c r="C24" s="12" t="s">
        <v>19</v>
      </c>
      <c r="D24" s="12" t="s">
        <v>34</v>
      </c>
      <c r="E24" s="12" t="s">
        <v>34</v>
      </c>
      <c r="F24" s="12" t="s">
        <v>6</v>
      </c>
      <c r="G24" s="12" t="s">
        <v>78</v>
      </c>
      <c r="H24" s="12" t="s">
        <v>81</v>
      </c>
      <c r="I24" s="12" t="s">
        <v>103</v>
      </c>
      <c r="J24" s="32">
        <v>80</v>
      </c>
      <c r="K24" s="12" t="s">
        <v>93</v>
      </c>
      <c r="L24" s="15" t="s">
        <v>93</v>
      </c>
      <c r="M24" s="32" t="s">
        <v>267</v>
      </c>
      <c r="N24" s="15">
        <v>4</v>
      </c>
      <c r="O24" s="12">
        <v>7987</v>
      </c>
      <c r="P24" s="13" t="s">
        <v>12</v>
      </c>
      <c r="Q24" s="14">
        <v>45541</v>
      </c>
      <c r="R24" s="14">
        <v>45551</v>
      </c>
      <c r="S24" s="14">
        <v>45556</v>
      </c>
      <c r="T24" s="12" t="s">
        <v>274</v>
      </c>
      <c r="U24" s="12" t="s">
        <v>116</v>
      </c>
      <c r="V24" s="11"/>
    </row>
    <row r="25" spans="1:22" ht="20.100000000000001" customHeight="1" x14ac:dyDescent="0.2">
      <c r="A25" s="22">
        <v>1513856</v>
      </c>
      <c r="B25" s="22">
        <v>1231946</v>
      </c>
      <c r="C25" s="12" t="s">
        <v>52</v>
      </c>
      <c r="D25" s="12" t="s">
        <v>53</v>
      </c>
      <c r="E25" s="12" t="s">
        <v>53</v>
      </c>
      <c r="F25" s="12" t="s">
        <v>6</v>
      </c>
      <c r="G25" s="32" t="s">
        <v>171</v>
      </c>
      <c r="H25" s="12" t="s">
        <v>109</v>
      </c>
      <c r="I25" s="31" t="s">
        <v>210</v>
      </c>
      <c r="J25" s="31" t="s">
        <v>210</v>
      </c>
      <c r="K25" s="31" t="s">
        <v>210</v>
      </c>
      <c r="L25" s="31" t="s">
        <v>210</v>
      </c>
      <c r="M25" s="15" t="s">
        <v>260</v>
      </c>
      <c r="N25" s="15">
        <v>1</v>
      </c>
      <c r="O25" s="12">
        <v>8849</v>
      </c>
      <c r="P25" s="13" t="s">
        <v>12</v>
      </c>
      <c r="Q25" s="14">
        <v>45538</v>
      </c>
      <c r="R25" s="14">
        <v>45581</v>
      </c>
      <c r="S25" s="32" t="s">
        <v>210</v>
      </c>
      <c r="T25" s="12" t="s">
        <v>114</v>
      </c>
      <c r="U25" s="32" t="s">
        <v>114</v>
      </c>
      <c r="V25" s="11"/>
    </row>
    <row r="26" spans="1:22" ht="20.100000000000001" customHeight="1" x14ac:dyDescent="0.2">
      <c r="A26" s="22">
        <v>1411691</v>
      </c>
      <c r="B26" s="22">
        <v>1202775</v>
      </c>
      <c r="C26" s="12" t="s">
        <v>35</v>
      </c>
      <c r="D26" s="12" t="s">
        <v>229</v>
      </c>
      <c r="E26" s="12" t="s">
        <v>222</v>
      </c>
      <c r="F26" s="12" t="s">
        <v>6</v>
      </c>
      <c r="G26" s="12" t="s">
        <v>78</v>
      </c>
      <c r="H26" s="12" t="s">
        <v>81</v>
      </c>
      <c r="I26" s="12" t="s">
        <v>84</v>
      </c>
      <c r="J26" s="12">
        <v>120</v>
      </c>
      <c r="K26" s="12" t="s">
        <v>93</v>
      </c>
      <c r="L26" s="31" t="s">
        <v>210</v>
      </c>
      <c r="M26" s="15" t="s">
        <v>251</v>
      </c>
      <c r="N26" s="15">
        <v>1</v>
      </c>
      <c r="O26" s="12">
        <v>10987</v>
      </c>
      <c r="P26" s="13" t="s">
        <v>12</v>
      </c>
      <c r="Q26" s="14">
        <v>45544</v>
      </c>
      <c r="R26" s="14">
        <v>45552</v>
      </c>
      <c r="S26" s="14">
        <v>45556</v>
      </c>
      <c r="T26" s="12" t="s">
        <v>274</v>
      </c>
      <c r="U26" s="31" t="s">
        <v>116</v>
      </c>
      <c r="V26" s="11"/>
    </row>
    <row r="27" spans="1:22" ht="20.100000000000001" customHeight="1" x14ac:dyDescent="0.25">
      <c r="A27" s="35" t="s">
        <v>210</v>
      </c>
      <c r="B27" s="35" t="s">
        <v>210</v>
      </c>
      <c r="C27" s="12" t="s">
        <v>18</v>
      </c>
      <c r="D27" s="12" t="s">
        <v>210</v>
      </c>
      <c r="E27" s="12" t="s">
        <v>210</v>
      </c>
      <c r="F27" s="12" t="s">
        <v>18</v>
      </c>
      <c r="G27" s="12" t="s">
        <v>78</v>
      </c>
      <c r="H27" s="12" t="s">
        <v>91</v>
      </c>
      <c r="I27" s="12" t="s">
        <v>82</v>
      </c>
      <c r="J27" s="32">
        <v>100</v>
      </c>
      <c r="K27" s="12" t="s">
        <v>93</v>
      </c>
      <c r="L27" s="31" t="s">
        <v>210</v>
      </c>
      <c r="M27" s="32" t="s">
        <v>257</v>
      </c>
      <c r="N27" s="32">
        <v>1</v>
      </c>
      <c r="O27" s="12">
        <v>9208</v>
      </c>
      <c r="P27" s="13">
        <v>5781.75</v>
      </c>
      <c r="Q27" s="14">
        <v>45536</v>
      </c>
      <c r="R27" s="14">
        <v>45554</v>
      </c>
      <c r="S27" s="14">
        <v>45556</v>
      </c>
      <c r="T27" s="12" t="s">
        <v>274</v>
      </c>
      <c r="U27" s="12" t="s">
        <v>116</v>
      </c>
      <c r="V27" s="11"/>
    </row>
    <row r="28" spans="1:22" ht="20.100000000000001" customHeight="1" x14ac:dyDescent="0.25">
      <c r="A28" s="35" t="s">
        <v>210</v>
      </c>
      <c r="B28" s="35" t="s">
        <v>210</v>
      </c>
      <c r="C28" s="12" t="s">
        <v>18</v>
      </c>
      <c r="D28" s="12" t="s">
        <v>210</v>
      </c>
      <c r="E28" s="12" t="s">
        <v>210</v>
      </c>
      <c r="F28" s="12" t="s">
        <v>27</v>
      </c>
      <c r="G28" s="12" t="s">
        <v>78</v>
      </c>
      <c r="H28" s="12" t="s">
        <v>91</v>
      </c>
      <c r="I28" s="12" t="s">
        <v>82</v>
      </c>
      <c r="J28" s="32">
        <v>100</v>
      </c>
      <c r="K28" s="12" t="s">
        <v>94</v>
      </c>
      <c r="L28" s="31" t="s">
        <v>210</v>
      </c>
      <c r="M28" s="32" t="s">
        <v>257</v>
      </c>
      <c r="N28" s="32">
        <v>1</v>
      </c>
      <c r="O28" s="12">
        <v>9208</v>
      </c>
      <c r="P28" s="13">
        <v>1278.53</v>
      </c>
      <c r="Q28" s="14">
        <v>45536</v>
      </c>
      <c r="R28" s="14">
        <v>45554</v>
      </c>
      <c r="S28" s="14">
        <v>45556</v>
      </c>
      <c r="T28" s="12" t="s">
        <v>274</v>
      </c>
      <c r="U28" s="12" t="s">
        <v>116</v>
      </c>
      <c r="V28" s="11"/>
    </row>
    <row r="29" spans="1:22" ht="20.100000000000001" customHeight="1" x14ac:dyDescent="0.25">
      <c r="A29" s="35" t="s">
        <v>210</v>
      </c>
      <c r="B29" s="35" t="s">
        <v>210</v>
      </c>
      <c r="C29" s="12" t="s">
        <v>42</v>
      </c>
      <c r="D29" s="12" t="s">
        <v>230</v>
      </c>
      <c r="E29" s="12" t="s">
        <v>231</v>
      </c>
      <c r="F29" s="12" t="s">
        <v>29</v>
      </c>
      <c r="G29" s="12" t="s">
        <v>78</v>
      </c>
      <c r="H29" s="12" t="s">
        <v>81</v>
      </c>
      <c r="I29" s="12" t="s">
        <v>103</v>
      </c>
      <c r="J29" s="12">
        <v>120</v>
      </c>
      <c r="K29" s="12" t="s">
        <v>93</v>
      </c>
      <c r="L29" s="15" t="s">
        <v>93</v>
      </c>
      <c r="M29" s="32" t="s">
        <v>267</v>
      </c>
      <c r="N29" s="15">
        <v>2</v>
      </c>
      <c r="O29" s="12">
        <v>4020</v>
      </c>
      <c r="P29" s="13" t="s">
        <v>43</v>
      </c>
      <c r="Q29" s="14">
        <v>45547</v>
      </c>
      <c r="R29" s="14">
        <v>45556</v>
      </c>
      <c r="S29" s="14">
        <v>45557</v>
      </c>
      <c r="T29" s="12" t="s">
        <v>274</v>
      </c>
      <c r="U29" s="31" t="s">
        <v>116</v>
      </c>
      <c r="V29" s="11"/>
    </row>
    <row r="30" spans="1:22" ht="20.100000000000001" customHeight="1" x14ac:dyDescent="0.25">
      <c r="A30" s="35" t="s">
        <v>210</v>
      </c>
      <c r="B30" s="35" t="s">
        <v>210</v>
      </c>
      <c r="C30" s="12" t="s">
        <v>42</v>
      </c>
      <c r="D30" s="12" t="s">
        <v>230</v>
      </c>
      <c r="E30" s="12" t="s">
        <v>231</v>
      </c>
      <c r="F30" s="12" t="s">
        <v>29</v>
      </c>
      <c r="G30" s="12" t="s">
        <v>78</v>
      </c>
      <c r="H30" s="12" t="s">
        <v>81</v>
      </c>
      <c r="I30" s="12" t="s">
        <v>103</v>
      </c>
      <c r="J30" s="12">
        <v>120</v>
      </c>
      <c r="K30" s="12" t="s">
        <v>93</v>
      </c>
      <c r="L30" s="15" t="s">
        <v>93</v>
      </c>
      <c r="M30" s="32" t="s">
        <v>267</v>
      </c>
      <c r="N30" s="15">
        <v>2</v>
      </c>
      <c r="O30" s="12">
        <v>4020</v>
      </c>
      <c r="P30" s="13" t="s">
        <v>43</v>
      </c>
      <c r="Q30" s="14">
        <v>45547</v>
      </c>
      <c r="R30" s="14">
        <v>45556</v>
      </c>
      <c r="S30" s="14">
        <v>45557</v>
      </c>
      <c r="T30" s="12" t="s">
        <v>274</v>
      </c>
      <c r="U30" s="31" t="s">
        <v>116</v>
      </c>
      <c r="V30" s="11"/>
    </row>
    <row r="31" spans="1:22" ht="20.100000000000001" customHeight="1" x14ac:dyDescent="0.25">
      <c r="A31" s="35" t="s">
        <v>210</v>
      </c>
      <c r="B31" s="35" t="s">
        <v>210</v>
      </c>
      <c r="C31" s="12" t="s">
        <v>42</v>
      </c>
      <c r="D31" s="12" t="s">
        <v>230</v>
      </c>
      <c r="E31" s="12" t="s">
        <v>231</v>
      </c>
      <c r="F31" s="12" t="s">
        <v>29</v>
      </c>
      <c r="G31" s="12" t="s">
        <v>78</v>
      </c>
      <c r="H31" s="12" t="s">
        <v>81</v>
      </c>
      <c r="I31" s="12" t="s">
        <v>95</v>
      </c>
      <c r="J31" s="12">
        <v>120</v>
      </c>
      <c r="K31" s="12" t="s">
        <v>94</v>
      </c>
      <c r="L31" s="15" t="s">
        <v>94</v>
      </c>
      <c r="M31" s="15" t="s">
        <v>269</v>
      </c>
      <c r="N31" s="15">
        <v>2</v>
      </c>
      <c r="O31" s="12">
        <v>4020</v>
      </c>
      <c r="P31" s="13" t="s">
        <v>58</v>
      </c>
      <c r="Q31" s="14">
        <v>45547</v>
      </c>
      <c r="R31" s="14">
        <v>45556</v>
      </c>
      <c r="S31" s="14">
        <v>45557</v>
      </c>
      <c r="T31" s="12" t="s">
        <v>274</v>
      </c>
      <c r="U31" s="31" t="s">
        <v>116</v>
      </c>
      <c r="V31" s="11"/>
    </row>
    <row r="32" spans="1:22" ht="20.100000000000001" customHeight="1" x14ac:dyDescent="0.25">
      <c r="A32" s="35" t="s">
        <v>210</v>
      </c>
      <c r="B32" s="35" t="s">
        <v>210</v>
      </c>
      <c r="C32" s="12" t="s">
        <v>42</v>
      </c>
      <c r="D32" s="12" t="s">
        <v>230</v>
      </c>
      <c r="E32" s="12" t="s">
        <v>231</v>
      </c>
      <c r="F32" s="12" t="s">
        <v>29</v>
      </c>
      <c r="G32" s="12" t="s">
        <v>78</v>
      </c>
      <c r="H32" s="12" t="s">
        <v>81</v>
      </c>
      <c r="I32" s="12" t="s">
        <v>95</v>
      </c>
      <c r="J32" s="12">
        <v>120</v>
      </c>
      <c r="K32" s="12" t="s">
        <v>94</v>
      </c>
      <c r="L32" s="15" t="s">
        <v>94</v>
      </c>
      <c r="M32" s="15" t="s">
        <v>269</v>
      </c>
      <c r="N32" s="15">
        <v>2</v>
      </c>
      <c r="O32" s="12">
        <v>4020</v>
      </c>
      <c r="P32" s="13" t="s">
        <v>58</v>
      </c>
      <c r="Q32" s="14">
        <v>45547</v>
      </c>
      <c r="R32" s="14">
        <v>45556</v>
      </c>
      <c r="S32" s="14">
        <v>45557</v>
      </c>
      <c r="T32" s="12" t="s">
        <v>274</v>
      </c>
      <c r="U32" s="31" t="s">
        <v>116</v>
      </c>
      <c r="V32" s="11"/>
    </row>
    <row r="33" spans="1:22" ht="20.100000000000001" customHeight="1" x14ac:dyDescent="0.2">
      <c r="A33" s="22">
        <v>1509211</v>
      </c>
      <c r="B33" s="22">
        <v>1230837</v>
      </c>
      <c r="C33" s="12" t="s">
        <v>75</v>
      </c>
      <c r="D33" s="12" t="s">
        <v>76</v>
      </c>
      <c r="E33" s="12" t="s">
        <v>76</v>
      </c>
      <c r="F33" s="12" t="s">
        <v>6</v>
      </c>
      <c r="G33" s="12" t="s">
        <v>78</v>
      </c>
      <c r="H33" s="12" t="s">
        <v>79</v>
      </c>
      <c r="I33" s="31" t="s">
        <v>210</v>
      </c>
      <c r="J33" s="31" t="s">
        <v>210</v>
      </c>
      <c r="K33" s="12" t="s">
        <v>94</v>
      </c>
      <c r="L33" s="12" t="s">
        <v>94</v>
      </c>
      <c r="M33" s="15" t="s">
        <v>256</v>
      </c>
      <c r="N33" s="15">
        <v>1</v>
      </c>
      <c r="O33" s="12">
        <v>9399</v>
      </c>
      <c r="P33" s="13" t="s">
        <v>58</v>
      </c>
      <c r="Q33" s="14">
        <v>45549</v>
      </c>
      <c r="R33" s="14">
        <v>45557</v>
      </c>
      <c r="S33" s="12" t="s">
        <v>113</v>
      </c>
      <c r="T33" s="12" t="s">
        <v>20</v>
      </c>
      <c r="U33" s="12" t="s">
        <v>113</v>
      </c>
      <c r="V33" s="11"/>
    </row>
    <row r="34" spans="1:22" ht="20.100000000000001" customHeight="1" x14ac:dyDescent="0.2">
      <c r="A34" s="22">
        <v>1536687</v>
      </c>
      <c r="B34" s="22">
        <v>1237682</v>
      </c>
      <c r="C34" s="12" t="s">
        <v>77</v>
      </c>
      <c r="D34" s="12" t="s">
        <v>232</v>
      </c>
      <c r="E34" s="12" t="s">
        <v>233</v>
      </c>
      <c r="F34" s="12" t="s">
        <v>6</v>
      </c>
      <c r="G34" s="32" t="s">
        <v>171</v>
      </c>
      <c r="H34" s="12" t="s">
        <v>111</v>
      </c>
      <c r="I34" s="31" t="s">
        <v>210</v>
      </c>
      <c r="J34" s="31" t="s">
        <v>210</v>
      </c>
      <c r="K34" s="31" t="s">
        <v>210</v>
      </c>
      <c r="L34" s="31" t="s">
        <v>210</v>
      </c>
      <c r="M34" s="15" t="s">
        <v>259</v>
      </c>
      <c r="N34" s="15">
        <v>1</v>
      </c>
      <c r="O34" s="12">
        <v>8349</v>
      </c>
      <c r="P34" s="13" t="s">
        <v>58</v>
      </c>
      <c r="Q34" s="14">
        <v>45549</v>
      </c>
      <c r="R34" s="14">
        <v>45557</v>
      </c>
      <c r="S34" s="14">
        <v>45559</v>
      </c>
      <c r="T34" s="31" t="s">
        <v>272</v>
      </c>
      <c r="U34" s="31" t="s">
        <v>116</v>
      </c>
      <c r="V34" s="11"/>
    </row>
    <row r="35" spans="1:22" ht="20.100000000000001" customHeight="1" x14ac:dyDescent="0.2">
      <c r="A35" s="22">
        <v>1520537</v>
      </c>
      <c r="B35" s="22">
        <v>1233624</v>
      </c>
      <c r="C35" s="12" t="s">
        <v>51</v>
      </c>
      <c r="D35" s="12" t="s">
        <v>229</v>
      </c>
      <c r="E35" s="12" t="s">
        <v>222</v>
      </c>
      <c r="F35" s="12" t="s">
        <v>6</v>
      </c>
      <c r="G35" s="12" t="s">
        <v>78</v>
      </c>
      <c r="H35" s="12" t="s">
        <v>79</v>
      </c>
      <c r="I35" s="31" t="s">
        <v>210</v>
      </c>
      <c r="J35" s="31" t="s">
        <v>210</v>
      </c>
      <c r="K35" s="12" t="s">
        <v>94</v>
      </c>
      <c r="L35" s="12" t="s">
        <v>94</v>
      </c>
      <c r="M35" s="32" t="s">
        <v>268</v>
      </c>
      <c r="N35" s="31">
        <v>1</v>
      </c>
      <c r="O35" s="12">
        <v>9399</v>
      </c>
      <c r="P35" s="13" t="s">
        <v>12</v>
      </c>
      <c r="Q35" s="14">
        <v>45548</v>
      </c>
      <c r="R35" s="14">
        <v>45559</v>
      </c>
      <c r="S35" s="14">
        <v>45566</v>
      </c>
      <c r="T35" s="31" t="s">
        <v>272</v>
      </c>
      <c r="U35" s="12" t="s">
        <v>116</v>
      </c>
      <c r="V35" s="11"/>
    </row>
    <row r="36" spans="1:22" ht="20.100000000000001" customHeight="1" x14ac:dyDescent="0.2">
      <c r="A36" s="22">
        <v>1422998</v>
      </c>
      <c r="B36" s="22">
        <v>1207350</v>
      </c>
      <c r="C36" s="12" t="s">
        <v>36</v>
      </c>
      <c r="D36" s="12" t="s">
        <v>37</v>
      </c>
      <c r="E36" s="12" t="s">
        <v>37</v>
      </c>
      <c r="F36" s="12" t="s">
        <v>6</v>
      </c>
      <c r="G36" s="32" t="s">
        <v>171</v>
      </c>
      <c r="H36" s="12" t="s">
        <v>109</v>
      </c>
      <c r="I36" s="31" t="s">
        <v>210</v>
      </c>
      <c r="J36" s="31" t="s">
        <v>210</v>
      </c>
      <c r="K36" s="31" t="s">
        <v>210</v>
      </c>
      <c r="L36" s="31" t="s">
        <v>210</v>
      </c>
      <c r="M36" s="15" t="s">
        <v>260</v>
      </c>
      <c r="N36" s="15">
        <v>1</v>
      </c>
      <c r="O36" s="12">
        <v>7849</v>
      </c>
      <c r="P36" s="13">
        <v>7928</v>
      </c>
      <c r="Q36" s="14">
        <v>45547</v>
      </c>
      <c r="R36" s="14">
        <v>45561</v>
      </c>
      <c r="S36" s="32" t="s">
        <v>210</v>
      </c>
      <c r="T36" s="31" t="s">
        <v>272</v>
      </c>
      <c r="U36" s="31" t="s">
        <v>116</v>
      </c>
      <c r="V36" s="11"/>
    </row>
    <row r="37" spans="1:22" ht="20.100000000000001" customHeight="1" x14ac:dyDescent="0.25">
      <c r="A37" s="35" t="s">
        <v>210</v>
      </c>
      <c r="B37" s="35" t="s">
        <v>210</v>
      </c>
      <c r="C37" s="12" t="s">
        <v>41</v>
      </c>
      <c r="D37" s="12" t="s">
        <v>234</v>
      </c>
      <c r="E37" s="12" t="s">
        <v>222</v>
      </c>
      <c r="F37" s="12" t="s">
        <v>164</v>
      </c>
      <c r="G37" s="12" t="s">
        <v>78</v>
      </c>
      <c r="H37" s="12" t="s">
        <v>97</v>
      </c>
      <c r="I37" s="12" t="s">
        <v>83</v>
      </c>
      <c r="J37" s="32">
        <v>100</v>
      </c>
      <c r="K37" s="12" t="s">
        <v>94</v>
      </c>
      <c r="L37" s="31" t="s">
        <v>210</v>
      </c>
      <c r="M37" s="15" t="s">
        <v>270</v>
      </c>
      <c r="N37" s="51">
        <v>3</v>
      </c>
      <c r="O37" s="12">
        <v>9450</v>
      </c>
      <c r="P37" s="13">
        <v>9450</v>
      </c>
      <c r="Q37" s="14">
        <v>45547</v>
      </c>
      <c r="R37" s="14">
        <v>45561</v>
      </c>
      <c r="S37" s="32" t="s">
        <v>210</v>
      </c>
      <c r="T37" s="12" t="s">
        <v>114</v>
      </c>
      <c r="U37" s="12" t="s">
        <v>114</v>
      </c>
      <c r="V37" s="11"/>
    </row>
    <row r="38" spans="1:22" ht="20.100000000000001" customHeight="1" x14ac:dyDescent="0.2">
      <c r="A38" s="22">
        <v>1459790</v>
      </c>
      <c r="B38" s="22">
        <v>1218257</v>
      </c>
      <c r="C38" s="12" t="s">
        <v>46</v>
      </c>
      <c r="D38" s="12" t="s">
        <v>34</v>
      </c>
      <c r="E38" s="12" t="s">
        <v>34</v>
      </c>
      <c r="F38" s="12" t="s">
        <v>6</v>
      </c>
      <c r="G38" s="12" t="s">
        <v>78</v>
      </c>
      <c r="H38" s="12" t="s">
        <v>81</v>
      </c>
      <c r="I38" s="12" t="s">
        <v>84</v>
      </c>
      <c r="J38" s="12">
        <v>120</v>
      </c>
      <c r="K38" s="12" t="s">
        <v>94</v>
      </c>
      <c r="L38" s="31" t="s">
        <v>210</v>
      </c>
      <c r="M38" s="15" t="s">
        <v>251</v>
      </c>
      <c r="N38" s="15">
        <v>1</v>
      </c>
      <c r="O38" s="12">
        <v>7460</v>
      </c>
      <c r="P38" s="13" t="s">
        <v>12</v>
      </c>
      <c r="Q38" s="14">
        <v>45548</v>
      </c>
      <c r="R38" s="14">
        <v>45561</v>
      </c>
      <c r="S38" s="14">
        <v>45568</v>
      </c>
      <c r="T38" s="12" t="s">
        <v>274</v>
      </c>
      <c r="U38" s="12" t="s">
        <v>116</v>
      </c>
      <c r="V38" s="11"/>
    </row>
    <row r="39" spans="1:22" ht="20.100000000000001" customHeight="1" x14ac:dyDescent="0.2">
      <c r="A39" s="22">
        <v>1455486</v>
      </c>
      <c r="B39" s="22">
        <v>1217163</v>
      </c>
      <c r="C39" s="12" t="s">
        <v>48</v>
      </c>
      <c r="D39" s="12" t="s">
        <v>34</v>
      </c>
      <c r="E39" s="12" t="s">
        <v>34</v>
      </c>
      <c r="F39" s="12" t="s">
        <v>6</v>
      </c>
      <c r="G39" s="12" t="s">
        <v>78</v>
      </c>
      <c r="H39" s="12" t="s">
        <v>81</v>
      </c>
      <c r="I39" s="12" t="s">
        <v>104</v>
      </c>
      <c r="J39" s="12">
        <v>140</v>
      </c>
      <c r="K39" s="12" t="s">
        <v>102</v>
      </c>
      <c r="L39" s="12" t="s">
        <v>98</v>
      </c>
      <c r="M39" s="15" t="s">
        <v>258</v>
      </c>
      <c r="N39" s="15">
        <v>1</v>
      </c>
      <c r="O39" s="12">
        <v>9528</v>
      </c>
      <c r="P39" s="13" t="s">
        <v>12</v>
      </c>
      <c r="Q39" s="14">
        <v>45548</v>
      </c>
      <c r="R39" s="14">
        <v>45561</v>
      </c>
      <c r="S39" s="14">
        <v>45568</v>
      </c>
      <c r="T39" s="12" t="s">
        <v>274</v>
      </c>
      <c r="U39" s="12" t="s">
        <v>116</v>
      </c>
      <c r="V39" s="11"/>
    </row>
    <row r="40" spans="1:22" ht="20.100000000000001" customHeight="1" x14ac:dyDescent="0.2">
      <c r="A40" s="22">
        <v>1504407</v>
      </c>
      <c r="B40" s="22">
        <v>1229760</v>
      </c>
      <c r="C40" s="12" t="s">
        <v>74</v>
      </c>
      <c r="D40" s="12" t="s">
        <v>229</v>
      </c>
      <c r="E40" s="12" t="s">
        <v>222</v>
      </c>
      <c r="F40" s="12" t="s">
        <v>6</v>
      </c>
      <c r="G40" s="12" t="s">
        <v>78</v>
      </c>
      <c r="H40" s="12" t="s">
        <v>91</v>
      </c>
      <c r="I40" s="12" t="s">
        <v>83</v>
      </c>
      <c r="J40" s="12">
        <v>120</v>
      </c>
      <c r="K40" s="12" t="s">
        <v>98</v>
      </c>
      <c r="L40" s="31" t="s">
        <v>210</v>
      </c>
      <c r="M40" s="32" t="s">
        <v>249</v>
      </c>
      <c r="N40" s="32">
        <v>1</v>
      </c>
      <c r="O40" s="12">
        <v>12999</v>
      </c>
      <c r="P40" s="13" t="s">
        <v>12</v>
      </c>
      <c r="Q40" s="14">
        <v>45549</v>
      </c>
      <c r="R40" s="14">
        <v>45562</v>
      </c>
      <c r="S40" s="14">
        <v>45567</v>
      </c>
      <c r="T40" s="12" t="s">
        <v>274</v>
      </c>
      <c r="U40" s="12" t="s">
        <v>116</v>
      </c>
      <c r="V40" s="11"/>
    </row>
    <row r="41" spans="1:22" ht="20.100000000000001" customHeight="1" x14ac:dyDescent="0.2">
      <c r="A41" s="22">
        <v>1423361</v>
      </c>
      <c r="B41" s="22">
        <v>1207484</v>
      </c>
      <c r="C41" s="12" t="s">
        <v>38</v>
      </c>
      <c r="D41" s="12" t="s">
        <v>235</v>
      </c>
      <c r="E41" s="12" t="s">
        <v>236</v>
      </c>
      <c r="F41" s="12" t="s">
        <v>6</v>
      </c>
      <c r="G41" s="12" t="s">
        <v>78</v>
      </c>
      <c r="H41" s="12" t="s">
        <v>91</v>
      </c>
      <c r="I41" s="12" t="s">
        <v>80</v>
      </c>
      <c r="J41" s="32">
        <v>90</v>
      </c>
      <c r="K41" s="12" t="s">
        <v>94</v>
      </c>
      <c r="L41" s="31" t="s">
        <v>210</v>
      </c>
      <c r="M41" s="32" t="s">
        <v>255</v>
      </c>
      <c r="N41" s="32">
        <v>1</v>
      </c>
      <c r="O41" s="12">
        <v>5999</v>
      </c>
      <c r="P41" s="13" t="s">
        <v>12</v>
      </c>
      <c r="Q41" s="14">
        <v>45547</v>
      </c>
      <c r="R41" s="14">
        <v>45564</v>
      </c>
      <c r="S41" s="32" t="s">
        <v>210</v>
      </c>
      <c r="T41" s="32" t="s">
        <v>210</v>
      </c>
      <c r="U41" s="32" t="s">
        <v>210</v>
      </c>
      <c r="V41" s="11"/>
    </row>
    <row r="42" spans="1:22" ht="20.100000000000001" customHeight="1" x14ac:dyDescent="0.2">
      <c r="A42" s="22">
        <v>1415725</v>
      </c>
      <c r="B42" s="22">
        <v>1204732</v>
      </c>
      <c r="C42" s="12" t="s">
        <v>39</v>
      </c>
      <c r="D42" s="12" t="s">
        <v>40</v>
      </c>
      <c r="E42" s="12" t="s">
        <v>40</v>
      </c>
      <c r="F42" s="12" t="s">
        <v>6</v>
      </c>
      <c r="G42" s="12" t="s">
        <v>78</v>
      </c>
      <c r="H42" s="12" t="s">
        <v>91</v>
      </c>
      <c r="I42" s="12" t="s">
        <v>83</v>
      </c>
      <c r="J42" s="32">
        <v>100</v>
      </c>
      <c r="K42" s="12" t="s">
        <v>94</v>
      </c>
      <c r="L42" s="15" t="s">
        <v>94</v>
      </c>
      <c r="M42" s="15" t="s">
        <v>249</v>
      </c>
      <c r="N42" s="15">
        <v>2</v>
      </c>
      <c r="O42" s="12">
        <v>11949</v>
      </c>
      <c r="P42" s="13">
        <v>10749</v>
      </c>
      <c r="Q42" s="14">
        <v>45547</v>
      </c>
      <c r="R42" s="14">
        <v>45564</v>
      </c>
      <c r="S42" s="14">
        <v>45567</v>
      </c>
      <c r="T42" s="12" t="s">
        <v>274</v>
      </c>
      <c r="U42" s="12" t="s">
        <v>116</v>
      </c>
      <c r="V42" s="11"/>
    </row>
    <row r="43" spans="1:22" ht="20.100000000000001" customHeight="1" x14ac:dyDescent="0.2">
      <c r="A43" s="22">
        <v>1415726</v>
      </c>
      <c r="B43" s="22">
        <v>1204732</v>
      </c>
      <c r="C43" s="12" t="s">
        <v>39</v>
      </c>
      <c r="D43" s="12" t="s">
        <v>40</v>
      </c>
      <c r="E43" s="12" t="s">
        <v>40</v>
      </c>
      <c r="F43" s="12" t="s">
        <v>6</v>
      </c>
      <c r="G43" s="12" t="s">
        <v>78</v>
      </c>
      <c r="H43" s="12" t="s">
        <v>91</v>
      </c>
      <c r="I43" s="12" t="s">
        <v>83</v>
      </c>
      <c r="J43" s="32">
        <v>100</v>
      </c>
      <c r="K43" s="12" t="s">
        <v>94</v>
      </c>
      <c r="L43" s="15" t="s">
        <v>94</v>
      </c>
      <c r="M43" s="15" t="s">
        <v>249</v>
      </c>
      <c r="N43" s="15">
        <v>2</v>
      </c>
      <c r="O43" s="12">
        <v>11949</v>
      </c>
      <c r="P43" s="13">
        <v>10749</v>
      </c>
      <c r="Q43" s="14">
        <v>45547</v>
      </c>
      <c r="R43" s="14">
        <v>45564</v>
      </c>
      <c r="S43" s="14">
        <v>45567</v>
      </c>
      <c r="T43" s="12" t="s">
        <v>274</v>
      </c>
      <c r="U43" s="12" t="s">
        <v>116</v>
      </c>
      <c r="V43" s="11"/>
    </row>
    <row r="44" spans="1:22" ht="20.100000000000001" customHeight="1" x14ac:dyDescent="0.2">
      <c r="A44" s="22">
        <v>1499397</v>
      </c>
      <c r="B44" s="22">
        <v>1228586</v>
      </c>
      <c r="C44" s="12" t="s">
        <v>19</v>
      </c>
      <c r="D44" s="12" t="s">
        <v>235</v>
      </c>
      <c r="E44" s="12" t="s">
        <v>236</v>
      </c>
      <c r="F44" s="12" t="s">
        <v>6</v>
      </c>
      <c r="G44" s="12" t="s">
        <v>78</v>
      </c>
      <c r="H44" s="12" t="s">
        <v>97</v>
      </c>
      <c r="I44" s="12" t="s">
        <v>83</v>
      </c>
      <c r="J44" s="32">
        <v>80</v>
      </c>
      <c r="K44" s="12" t="s">
        <v>93</v>
      </c>
      <c r="L44" s="31" t="s">
        <v>210</v>
      </c>
      <c r="M44" s="15" t="s">
        <v>270</v>
      </c>
      <c r="N44" s="51">
        <v>3</v>
      </c>
      <c r="O44" s="12">
        <v>16599</v>
      </c>
      <c r="P44" s="13" t="s">
        <v>12</v>
      </c>
      <c r="Q44" s="14">
        <v>45548</v>
      </c>
      <c r="R44" s="14">
        <v>45565</v>
      </c>
      <c r="S44" s="14">
        <v>45568</v>
      </c>
      <c r="T44" s="12" t="s">
        <v>274</v>
      </c>
      <c r="U44" s="12" t="s">
        <v>116</v>
      </c>
      <c r="V44" s="11"/>
    </row>
    <row r="45" spans="1:22" ht="20.100000000000001" customHeight="1" x14ac:dyDescent="0.2">
      <c r="A45" s="22">
        <v>1458696</v>
      </c>
      <c r="B45" s="22">
        <v>1217982</v>
      </c>
      <c r="C45" s="12" t="s">
        <v>44</v>
      </c>
      <c r="D45" s="12" t="s">
        <v>16</v>
      </c>
      <c r="E45" s="12" t="s">
        <v>16</v>
      </c>
      <c r="F45" s="12" t="s">
        <v>6</v>
      </c>
      <c r="G45" s="12" t="s">
        <v>78</v>
      </c>
      <c r="H45" s="12" t="s">
        <v>91</v>
      </c>
      <c r="I45" s="12" t="s">
        <v>83</v>
      </c>
      <c r="J45" s="32">
        <v>80</v>
      </c>
      <c r="K45" s="12" t="s">
        <v>93</v>
      </c>
      <c r="L45" s="15" t="s">
        <v>93</v>
      </c>
      <c r="M45" s="32" t="s">
        <v>266</v>
      </c>
      <c r="N45" s="32">
        <v>1</v>
      </c>
      <c r="O45" s="12">
        <v>10999</v>
      </c>
      <c r="P45" s="13" t="s">
        <v>12</v>
      </c>
      <c r="Q45" s="14">
        <v>45548</v>
      </c>
      <c r="R45" s="14">
        <v>45565</v>
      </c>
      <c r="S45" s="14">
        <v>45581</v>
      </c>
      <c r="T45" s="31" t="s">
        <v>272</v>
      </c>
      <c r="U45" s="12" t="s">
        <v>116</v>
      </c>
      <c r="V45" s="11"/>
    </row>
    <row r="46" spans="1:22" ht="20.100000000000001" customHeight="1" x14ac:dyDescent="0.2">
      <c r="A46" s="22">
        <v>1480814</v>
      </c>
      <c r="B46" s="22">
        <v>1223964</v>
      </c>
      <c r="C46" s="12" t="s">
        <v>45</v>
      </c>
      <c r="D46" s="12" t="s">
        <v>237</v>
      </c>
      <c r="E46" s="12" t="s">
        <v>238</v>
      </c>
      <c r="F46" s="12" t="s">
        <v>6</v>
      </c>
      <c r="G46" s="12" t="s">
        <v>78</v>
      </c>
      <c r="H46" s="12" t="s">
        <v>91</v>
      </c>
      <c r="I46" s="12" t="s">
        <v>83</v>
      </c>
      <c r="J46" s="12">
        <v>140</v>
      </c>
      <c r="K46" s="12" t="s">
        <v>96</v>
      </c>
      <c r="L46" s="31" t="s">
        <v>210</v>
      </c>
      <c r="M46" s="15" t="s">
        <v>253</v>
      </c>
      <c r="N46" s="15">
        <v>1</v>
      </c>
      <c r="O46" s="12">
        <v>13099</v>
      </c>
      <c r="P46" s="13" t="s">
        <v>12</v>
      </c>
      <c r="Q46" s="14">
        <v>45548</v>
      </c>
      <c r="R46" s="14">
        <v>45565</v>
      </c>
      <c r="S46" s="14">
        <v>45568</v>
      </c>
      <c r="T46" s="31" t="s">
        <v>272</v>
      </c>
      <c r="U46" s="12" t="s">
        <v>116</v>
      </c>
      <c r="V46" s="11"/>
    </row>
    <row r="47" spans="1:22" ht="20.100000000000001" customHeight="1" x14ac:dyDescent="0.2">
      <c r="A47" s="22">
        <v>1492471</v>
      </c>
      <c r="B47" s="22">
        <v>1227052</v>
      </c>
      <c r="C47" s="12" t="s">
        <v>47</v>
      </c>
      <c r="D47" s="12" t="s">
        <v>229</v>
      </c>
      <c r="E47" s="12" t="s">
        <v>222</v>
      </c>
      <c r="F47" s="12" t="s">
        <v>6</v>
      </c>
      <c r="G47" s="12" t="s">
        <v>78</v>
      </c>
      <c r="H47" s="12" t="s">
        <v>91</v>
      </c>
      <c r="I47" s="12" t="s">
        <v>82</v>
      </c>
      <c r="J47" s="12">
        <v>120</v>
      </c>
      <c r="K47" s="12" t="s">
        <v>99</v>
      </c>
      <c r="L47" s="31" t="s">
        <v>210</v>
      </c>
      <c r="M47" s="32" t="s">
        <v>257</v>
      </c>
      <c r="N47" s="32">
        <v>1</v>
      </c>
      <c r="O47" s="12">
        <v>13849</v>
      </c>
      <c r="P47" s="13" t="s">
        <v>12</v>
      </c>
      <c r="Q47" s="14">
        <v>45548</v>
      </c>
      <c r="R47" s="14">
        <v>45565</v>
      </c>
      <c r="S47" s="14">
        <v>45585</v>
      </c>
      <c r="T47" s="12" t="s">
        <v>274</v>
      </c>
      <c r="U47" s="12" t="s">
        <v>116</v>
      </c>
      <c r="V47" s="11"/>
    </row>
    <row r="48" spans="1:22" ht="20.100000000000001" customHeight="1" x14ac:dyDescent="0.2">
      <c r="A48" s="22">
        <v>1507912</v>
      </c>
      <c r="B48" s="22">
        <v>1230527</v>
      </c>
      <c r="C48" s="12" t="s">
        <v>49</v>
      </c>
      <c r="D48" s="12" t="s">
        <v>50</v>
      </c>
      <c r="E48" s="12" t="s">
        <v>50</v>
      </c>
      <c r="F48" s="12" t="s">
        <v>6</v>
      </c>
      <c r="G48" s="32" t="s">
        <v>88</v>
      </c>
      <c r="H48" s="12" t="s">
        <v>90</v>
      </c>
      <c r="I48" s="31" t="s">
        <v>210</v>
      </c>
      <c r="J48" s="31" t="s">
        <v>210</v>
      </c>
      <c r="K48" s="12" t="s">
        <v>94</v>
      </c>
      <c r="L48" s="12" t="s">
        <v>98</v>
      </c>
      <c r="M48" s="32" t="s">
        <v>271</v>
      </c>
      <c r="N48" s="32">
        <v>4</v>
      </c>
      <c r="O48" s="12">
        <v>21999</v>
      </c>
      <c r="P48" s="13" t="s">
        <v>12</v>
      </c>
      <c r="Q48" s="14">
        <v>45548</v>
      </c>
      <c r="R48" s="14">
        <v>45565</v>
      </c>
      <c r="S48" s="32" t="s">
        <v>210</v>
      </c>
      <c r="T48" s="12" t="s">
        <v>274</v>
      </c>
      <c r="U48" s="12" t="s">
        <v>116</v>
      </c>
      <c r="V48" s="11"/>
    </row>
    <row r="49" spans="1:22" ht="20.100000000000001" customHeight="1" x14ac:dyDescent="0.2">
      <c r="A49" s="22">
        <v>1525747</v>
      </c>
      <c r="B49" s="22">
        <v>1234936</v>
      </c>
      <c r="C49" s="12" t="s">
        <v>54</v>
      </c>
      <c r="D49" s="12" t="s">
        <v>229</v>
      </c>
      <c r="E49" s="12" t="s">
        <v>222</v>
      </c>
      <c r="F49" s="12" t="s">
        <v>6</v>
      </c>
      <c r="G49" s="12" t="s">
        <v>78</v>
      </c>
      <c r="H49" s="12" t="s">
        <v>91</v>
      </c>
      <c r="I49" s="12" t="s">
        <v>83</v>
      </c>
      <c r="J49" s="32">
        <v>80</v>
      </c>
      <c r="K49" s="12" t="s">
        <v>93</v>
      </c>
      <c r="L49" s="15" t="s">
        <v>93</v>
      </c>
      <c r="M49" s="32" t="s">
        <v>266</v>
      </c>
      <c r="N49" s="32">
        <v>1</v>
      </c>
      <c r="O49" s="12">
        <v>10999</v>
      </c>
      <c r="P49" s="13" t="s">
        <v>12</v>
      </c>
      <c r="Q49" s="14">
        <v>45548</v>
      </c>
      <c r="R49" s="14">
        <v>45565</v>
      </c>
      <c r="S49" s="14">
        <v>45580</v>
      </c>
      <c r="T49" s="12" t="s">
        <v>274</v>
      </c>
      <c r="U49" s="12" t="s">
        <v>116</v>
      </c>
      <c r="V49" s="11"/>
    </row>
    <row r="50" spans="1:22" ht="20.100000000000001" customHeight="1" x14ac:dyDescent="0.2">
      <c r="A50" s="22">
        <v>1536313</v>
      </c>
      <c r="B50" s="22">
        <v>1237601</v>
      </c>
      <c r="C50" s="12" t="s">
        <v>55</v>
      </c>
      <c r="D50" s="12" t="s">
        <v>53</v>
      </c>
      <c r="E50" s="12" t="s">
        <v>53</v>
      </c>
      <c r="F50" s="12" t="s">
        <v>6</v>
      </c>
      <c r="G50" s="12" t="s">
        <v>78</v>
      </c>
      <c r="H50" s="12" t="s">
        <v>97</v>
      </c>
      <c r="I50" s="12" t="s">
        <v>83</v>
      </c>
      <c r="J50" s="32">
        <v>90</v>
      </c>
      <c r="K50" s="12" t="s">
        <v>94</v>
      </c>
      <c r="L50" s="31" t="s">
        <v>210</v>
      </c>
      <c r="M50" s="15" t="s">
        <v>270</v>
      </c>
      <c r="N50" s="51">
        <v>3</v>
      </c>
      <c r="O50" s="12">
        <v>17249</v>
      </c>
      <c r="P50" s="13" t="s">
        <v>12</v>
      </c>
      <c r="Q50" s="14">
        <v>45548</v>
      </c>
      <c r="R50" s="14">
        <v>45565</v>
      </c>
      <c r="S50" s="14">
        <v>45569</v>
      </c>
      <c r="T50" s="12" t="s">
        <v>274</v>
      </c>
      <c r="U50" s="12" t="s">
        <v>116</v>
      </c>
      <c r="V50" s="11"/>
    </row>
    <row r="51" spans="1:22" ht="20.100000000000001" customHeight="1" x14ac:dyDescent="0.2">
      <c r="A51" s="22">
        <v>1505609</v>
      </c>
      <c r="B51" s="22">
        <v>1230031</v>
      </c>
      <c r="C51" s="12" t="s">
        <v>73</v>
      </c>
      <c r="D51" s="12" t="s">
        <v>239</v>
      </c>
      <c r="E51" s="12" t="s">
        <v>222</v>
      </c>
      <c r="F51" s="12" t="s">
        <v>6</v>
      </c>
      <c r="G51" s="32" t="s">
        <v>171</v>
      </c>
      <c r="H51" s="12" t="s">
        <v>109</v>
      </c>
      <c r="I51" s="31" t="s">
        <v>210</v>
      </c>
      <c r="J51" s="31" t="s">
        <v>210</v>
      </c>
      <c r="K51" s="31" t="s">
        <v>210</v>
      </c>
      <c r="L51" s="31" t="s">
        <v>210</v>
      </c>
      <c r="M51" s="15" t="s">
        <v>263</v>
      </c>
      <c r="N51" s="15">
        <v>2</v>
      </c>
      <c r="O51" s="12">
        <v>8349</v>
      </c>
      <c r="P51" s="13" t="s">
        <v>12</v>
      </c>
      <c r="Q51" s="14">
        <v>45549</v>
      </c>
      <c r="R51" s="14">
        <v>45581</v>
      </c>
      <c r="S51" s="14">
        <v>45586</v>
      </c>
      <c r="T51" s="12" t="s">
        <v>274</v>
      </c>
      <c r="U51" s="12" t="s">
        <v>116</v>
      </c>
      <c r="V51" s="11"/>
    </row>
    <row r="52" spans="1:22" ht="20.100000000000001" customHeight="1" x14ac:dyDescent="0.2">
      <c r="A52" s="22">
        <v>1612229</v>
      </c>
      <c r="B52" s="22">
        <v>1254076</v>
      </c>
      <c r="C52" s="12" t="s">
        <v>61</v>
      </c>
      <c r="D52" s="12" t="s">
        <v>32</v>
      </c>
      <c r="E52" s="12" t="s">
        <v>32</v>
      </c>
      <c r="F52" s="12" t="s">
        <v>6</v>
      </c>
      <c r="G52" s="32" t="s">
        <v>171</v>
      </c>
      <c r="H52" s="12" t="s">
        <v>110</v>
      </c>
      <c r="I52" s="31" t="s">
        <v>210</v>
      </c>
      <c r="J52" s="31" t="s">
        <v>210</v>
      </c>
      <c r="K52" s="31" t="s">
        <v>210</v>
      </c>
      <c r="L52" s="31" t="s">
        <v>210</v>
      </c>
      <c r="M52" s="32" t="s">
        <v>261</v>
      </c>
      <c r="N52" s="32">
        <v>1</v>
      </c>
      <c r="O52" s="12">
        <v>7849</v>
      </c>
      <c r="P52" s="13" t="s">
        <v>12</v>
      </c>
      <c r="Q52" s="14">
        <v>45549</v>
      </c>
      <c r="R52" s="14">
        <v>45594</v>
      </c>
      <c r="S52" s="14">
        <v>45595</v>
      </c>
      <c r="T52" s="12" t="s">
        <v>274</v>
      </c>
      <c r="U52" s="12" t="s">
        <v>116</v>
      </c>
      <c r="V52" s="11"/>
    </row>
    <row r="53" spans="1:22" ht="20.100000000000001" customHeight="1" x14ac:dyDescent="0.2">
      <c r="A53" s="22">
        <v>1673771</v>
      </c>
      <c r="B53" s="22">
        <v>1269559</v>
      </c>
      <c r="C53" s="12" t="s">
        <v>62</v>
      </c>
      <c r="D53" s="12" t="s">
        <v>229</v>
      </c>
      <c r="E53" s="12" t="s">
        <v>222</v>
      </c>
      <c r="F53" s="12" t="s">
        <v>6</v>
      </c>
      <c r="G53" s="12" t="s">
        <v>78</v>
      </c>
      <c r="H53" s="12" t="s">
        <v>79</v>
      </c>
      <c r="I53" s="31" t="s">
        <v>210</v>
      </c>
      <c r="J53" s="31" t="s">
        <v>210</v>
      </c>
      <c r="K53" s="12" t="s">
        <v>94</v>
      </c>
      <c r="L53" s="12" t="s">
        <v>210</v>
      </c>
      <c r="M53" s="32" t="s">
        <v>268</v>
      </c>
      <c r="N53" s="31">
        <v>1</v>
      </c>
      <c r="O53" s="12">
        <v>9399</v>
      </c>
      <c r="P53" s="13" t="s">
        <v>58</v>
      </c>
      <c r="Q53" s="14">
        <v>45549</v>
      </c>
      <c r="R53" s="14">
        <v>45594</v>
      </c>
      <c r="S53" s="14">
        <v>45580</v>
      </c>
      <c r="T53" s="12" t="s">
        <v>274</v>
      </c>
      <c r="U53" s="12" t="s">
        <v>116</v>
      </c>
      <c r="V53" s="11"/>
    </row>
    <row r="54" spans="1:22" ht="20.100000000000001" customHeight="1" x14ac:dyDescent="0.2">
      <c r="A54" s="22">
        <v>1667352</v>
      </c>
      <c r="B54" s="22">
        <v>1267819</v>
      </c>
      <c r="C54" s="12" t="s">
        <v>63</v>
      </c>
      <c r="D54" s="12" t="s">
        <v>229</v>
      </c>
      <c r="E54" s="12" t="s">
        <v>222</v>
      </c>
      <c r="F54" s="12" t="s">
        <v>6</v>
      </c>
      <c r="G54" s="12" t="s">
        <v>78</v>
      </c>
      <c r="H54" s="12" t="s">
        <v>81</v>
      </c>
      <c r="I54" s="12" t="s">
        <v>84</v>
      </c>
      <c r="J54" s="12">
        <v>140</v>
      </c>
      <c r="K54" s="12" t="s">
        <v>94</v>
      </c>
      <c r="L54" s="15" t="s">
        <v>129</v>
      </c>
      <c r="M54" s="15" t="s">
        <v>251</v>
      </c>
      <c r="N54" s="15">
        <v>1</v>
      </c>
      <c r="O54" s="12">
        <v>11817</v>
      </c>
      <c r="P54" s="13" t="s">
        <v>58</v>
      </c>
      <c r="Q54" s="14">
        <v>45549</v>
      </c>
      <c r="R54" s="14">
        <v>45594</v>
      </c>
      <c r="S54" s="14">
        <v>45580</v>
      </c>
      <c r="T54" s="12" t="s">
        <v>274</v>
      </c>
      <c r="U54" s="12" t="s">
        <v>116</v>
      </c>
      <c r="V54" s="11"/>
    </row>
    <row r="55" spans="1:22" ht="20.100000000000001" customHeight="1" x14ac:dyDescent="0.2">
      <c r="A55" s="22">
        <v>1649781</v>
      </c>
      <c r="B55" s="22">
        <v>1263160</v>
      </c>
      <c r="C55" s="12" t="s">
        <v>64</v>
      </c>
      <c r="D55" s="12" t="s">
        <v>235</v>
      </c>
      <c r="E55" s="12" t="s">
        <v>236</v>
      </c>
      <c r="F55" s="12" t="s">
        <v>6</v>
      </c>
      <c r="G55" s="32" t="s">
        <v>171</v>
      </c>
      <c r="H55" s="12" t="s">
        <v>111</v>
      </c>
      <c r="I55" s="31" t="s">
        <v>210</v>
      </c>
      <c r="J55" s="31" t="s">
        <v>210</v>
      </c>
      <c r="K55" s="31" t="s">
        <v>210</v>
      </c>
      <c r="L55" s="31" t="s">
        <v>210</v>
      </c>
      <c r="M55" s="15" t="s">
        <v>259</v>
      </c>
      <c r="N55" s="15">
        <v>1</v>
      </c>
      <c r="O55" s="12">
        <v>8349</v>
      </c>
      <c r="P55" s="13" t="s">
        <v>58</v>
      </c>
      <c r="Q55" s="14">
        <v>45549</v>
      </c>
      <c r="R55" s="14">
        <v>45594</v>
      </c>
      <c r="S55" s="14">
        <v>45584</v>
      </c>
      <c r="T55" s="12" t="s">
        <v>274</v>
      </c>
      <c r="U55" s="12" t="s">
        <v>116</v>
      </c>
      <c r="V55" s="11"/>
    </row>
    <row r="56" spans="1:22" ht="20.100000000000001" customHeight="1" x14ac:dyDescent="0.2">
      <c r="A56" s="22">
        <v>1681476</v>
      </c>
      <c r="B56" s="22">
        <v>1271813</v>
      </c>
      <c r="C56" s="12" t="s">
        <v>66</v>
      </c>
      <c r="D56" s="12" t="s">
        <v>67</v>
      </c>
      <c r="E56" s="12" t="s">
        <v>67</v>
      </c>
      <c r="F56" s="12" t="s">
        <v>6</v>
      </c>
      <c r="G56" s="12" t="s">
        <v>78</v>
      </c>
      <c r="H56" s="12" t="s">
        <v>81</v>
      </c>
      <c r="I56" s="12" t="s">
        <v>103</v>
      </c>
      <c r="J56" s="12">
        <v>120</v>
      </c>
      <c r="K56" s="12" t="s">
        <v>93</v>
      </c>
      <c r="L56" s="15" t="s">
        <v>93</v>
      </c>
      <c r="M56" s="15" t="s">
        <v>250</v>
      </c>
      <c r="N56" s="15">
        <v>2</v>
      </c>
      <c r="O56" s="12">
        <v>17886</v>
      </c>
      <c r="P56" s="13" t="s">
        <v>58</v>
      </c>
      <c r="Q56" s="14">
        <v>45549</v>
      </c>
      <c r="R56" s="14">
        <v>45594</v>
      </c>
      <c r="S56" s="32" t="s">
        <v>210</v>
      </c>
      <c r="T56" s="12" t="s">
        <v>114</v>
      </c>
      <c r="U56" s="12" t="s">
        <v>114</v>
      </c>
      <c r="V56" s="11"/>
    </row>
    <row r="57" spans="1:22" ht="20.100000000000001" customHeight="1" x14ac:dyDescent="0.2">
      <c r="A57" s="22">
        <v>1681477</v>
      </c>
      <c r="B57" s="22">
        <v>1271813</v>
      </c>
      <c r="C57" s="12" t="s">
        <v>66</v>
      </c>
      <c r="D57" s="12" t="s">
        <v>67</v>
      </c>
      <c r="E57" s="12" t="s">
        <v>67</v>
      </c>
      <c r="F57" s="12" t="s">
        <v>6</v>
      </c>
      <c r="G57" s="12" t="s">
        <v>78</v>
      </c>
      <c r="H57" s="12" t="s">
        <v>81</v>
      </c>
      <c r="I57" s="12" t="s">
        <v>103</v>
      </c>
      <c r="J57" s="12">
        <v>120</v>
      </c>
      <c r="K57" s="12" t="s">
        <v>93</v>
      </c>
      <c r="L57" s="15" t="s">
        <v>93</v>
      </c>
      <c r="M57" s="15" t="s">
        <v>250</v>
      </c>
      <c r="N57" s="15">
        <v>2</v>
      </c>
      <c r="O57" s="12">
        <v>17886</v>
      </c>
      <c r="P57" s="13" t="s">
        <v>58</v>
      </c>
      <c r="Q57" s="14">
        <v>45549</v>
      </c>
      <c r="R57" s="14">
        <v>45594</v>
      </c>
      <c r="S57" s="32" t="s">
        <v>210</v>
      </c>
      <c r="T57" s="12" t="s">
        <v>114</v>
      </c>
      <c r="U57" s="12" t="s">
        <v>114</v>
      </c>
      <c r="V57" s="11"/>
    </row>
    <row r="58" spans="1:22" ht="20.100000000000001" customHeight="1" x14ac:dyDescent="0.2">
      <c r="A58" s="22">
        <v>1677530</v>
      </c>
      <c r="B58" s="22">
        <v>1270704</v>
      </c>
      <c r="C58" s="12" t="s">
        <v>68</v>
      </c>
      <c r="D58" s="12" t="s">
        <v>34</v>
      </c>
      <c r="E58" s="12" t="s">
        <v>34</v>
      </c>
      <c r="F58" s="12" t="s">
        <v>6</v>
      </c>
      <c r="G58" s="12" t="s">
        <v>78</v>
      </c>
      <c r="H58" s="12" t="s">
        <v>81</v>
      </c>
      <c r="I58" s="12" t="s">
        <v>84</v>
      </c>
      <c r="J58" s="12">
        <v>120</v>
      </c>
      <c r="K58" s="12" t="s">
        <v>93</v>
      </c>
      <c r="L58" s="15" t="s">
        <v>93</v>
      </c>
      <c r="M58" s="15" t="s">
        <v>251</v>
      </c>
      <c r="N58" s="15">
        <v>2</v>
      </c>
      <c r="O58" s="12">
        <v>10987</v>
      </c>
      <c r="P58" s="13" t="s">
        <v>12</v>
      </c>
      <c r="Q58" s="14">
        <v>45549</v>
      </c>
      <c r="R58" s="14">
        <v>45594</v>
      </c>
      <c r="S58" s="14">
        <v>45578</v>
      </c>
      <c r="T58" s="12" t="s">
        <v>274</v>
      </c>
      <c r="U58" s="12" t="s">
        <v>116</v>
      </c>
      <c r="V58" s="11"/>
    </row>
    <row r="59" spans="1:22" ht="20.100000000000001" customHeight="1" x14ac:dyDescent="0.2">
      <c r="A59" s="22">
        <v>1677528</v>
      </c>
      <c r="B59" s="22">
        <v>1270704</v>
      </c>
      <c r="C59" s="12" t="s">
        <v>68</v>
      </c>
      <c r="D59" s="12" t="s">
        <v>34</v>
      </c>
      <c r="E59" s="12" t="s">
        <v>34</v>
      </c>
      <c r="F59" s="12" t="s">
        <v>6</v>
      </c>
      <c r="G59" s="12" t="s">
        <v>78</v>
      </c>
      <c r="H59" s="12" t="s">
        <v>81</v>
      </c>
      <c r="I59" s="12" t="s">
        <v>84</v>
      </c>
      <c r="J59" s="12">
        <v>120</v>
      </c>
      <c r="K59" s="12" t="s">
        <v>93</v>
      </c>
      <c r="L59" s="15" t="s">
        <v>93</v>
      </c>
      <c r="M59" s="15" t="s">
        <v>251</v>
      </c>
      <c r="N59" s="15">
        <v>2</v>
      </c>
      <c r="O59" s="12">
        <v>10987</v>
      </c>
      <c r="P59" s="13" t="s">
        <v>12</v>
      </c>
      <c r="Q59" s="14">
        <v>45549</v>
      </c>
      <c r="R59" s="14">
        <v>45594</v>
      </c>
      <c r="S59" s="14">
        <v>45578</v>
      </c>
      <c r="T59" s="12" t="s">
        <v>274</v>
      </c>
      <c r="U59" s="12" t="s">
        <v>116</v>
      </c>
      <c r="V59" s="11"/>
    </row>
    <row r="60" spans="1:22" ht="20.100000000000001" customHeight="1" x14ac:dyDescent="0.2">
      <c r="A60" s="22">
        <v>1657744</v>
      </c>
      <c r="B60" s="22">
        <v>1265268</v>
      </c>
      <c r="C60" s="12" t="s">
        <v>70</v>
      </c>
      <c r="D60" s="12" t="s">
        <v>71</v>
      </c>
      <c r="E60" s="12" t="s">
        <v>71</v>
      </c>
      <c r="F60" s="12" t="s">
        <v>6</v>
      </c>
      <c r="G60" s="32" t="s">
        <v>171</v>
      </c>
      <c r="H60" s="12" t="s">
        <v>109</v>
      </c>
      <c r="I60" s="31" t="s">
        <v>210</v>
      </c>
      <c r="J60" s="31" t="s">
        <v>210</v>
      </c>
      <c r="K60" s="31" t="s">
        <v>210</v>
      </c>
      <c r="L60" s="31" t="s">
        <v>210</v>
      </c>
      <c r="M60" s="15" t="s">
        <v>260</v>
      </c>
      <c r="N60" s="15">
        <v>1</v>
      </c>
      <c r="O60" s="12">
        <v>10319</v>
      </c>
      <c r="P60" s="13" t="s">
        <v>12</v>
      </c>
      <c r="Q60" s="14">
        <v>45549</v>
      </c>
      <c r="R60" s="14">
        <v>45594</v>
      </c>
      <c r="S60" s="14">
        <v>45584</v>
      </c>
      <c r="T60" s="12" t="s">
        <v>274</v>
      </c>
      <c r="U60" s="12" t="s">
        <v>116</v>
      </c>
      <c r="V60" s="11"/>
    </row>
    <row r="61" spans="1:22" ht="20.100000000000001" customHeight="1" x14ac:dyDescent="0.2">
      <c r="A61" s="22">
        <v>1610613</v>
      </c>
      <c r="B61" s="22">
        <v>1253646</v>
      </c>
      <c r="C61" s="12" t="s">
        <v>56</v>
      </c>
      <c r="D61" s="12" t="s">
        <v>57</v>
      </c>
      <c r="E61" s="12" t="s">
        <v>57</v>
      </c>
      <c r="F61" s="12" t="s">
        <v>6</v>
      </c>
      <c r="G61" s="12" t="s">
        <v>78</v>
      </c>
      <c r="H61" s="12" t="s">
        <v>91</v>
      </c>
      <c r="I61" s="12" t="s">
        <v>83</v>
      </c>
      <c r="J61" s="12">
        <v>120</v>
      </c>
      <c r="K61" s="12" t="s">
        <v>98</v>
      </c>
      <c r="L61" s="15" t="s">
        <v>247</v>
      </c>
      <c r="M61" s="32" t="s">
        <v>266</v>
      </c>
      <c r="N61" s="32">
        <v>1</v>
      </c>
      <c r="O61" s="12">
        <v>12999</v>
      </c>
      <c r="P61" s="13" t="s">
        <v>58</v>
      </c>
      <c r="Q61" s="14">
        <v>45549</v>
      </c>
      <c r="R61" s="14">
        <v>45616</v>
      </c>
      <c r="S61" s="14">
        <v>45582</v>
      </c>
      <c r="T61" s="31" t="s">
        <v>272</v>
      </c>
      <c r="U61" s="12" t="s">
        <v>116</v>
      </c>
      <c r="V61" s="11"/>
    </row>
    <row r="62" spans="1:22" ht="20.100000000000001" customHeight="1" x14ac:dyDescent="0.2">
      <c r="A62" s="22">
        <v>1608468</v>
      </c>
      <c r="B62" s="22">
        <v>1253172</v>
      </c>
      <c r="C62" s="12" t="s">
        <v>59</v>
      </c>
      <c r="D62" s="12" t="s">
        <v>60</v>
      </c>
      <c r="E62" s="12" t="s">
        <v>60</v>
      </c>
      <c r="F62" s="12" t="s">
        <v>6</v>
      </c>
      <c r="G62" s="32" t="s">
        <v>88</v>
      </c>
      <c r="H62" s="12" t="s">
        <v>90</v>
      </c>
      <c r="I62" s="31" t="s">
        <v>210</v>
      </c>
      <c r="J62" s="31" t="s">
        <v>210</v>
      </c>
      <c r="K62" s="12" t="s">
        <v>94</v>
      </c>
      <c r="L62" s="12" t="s">
        <v>98</v>
      </c>
      <c r="M62" s="32" t="s">
        <v>271</v>
      </c>
      <c r="N62" s="32">
        <v>4</v>
      </c>
      <c r="O62" s="12">
        <v>21999</v>
      </c>
      <c r="P62" s="13" t="s">
        <v>12</v>
      </c>
      <c r="Q62" s="14">
        <v>45549</v>
      </c>
      <c r="R62" s="14">
        <v>45616</v>
      </c>
      <c r="S62" s="32" t="s">
        <v>210</v>
      </c>
      <c r="T62" s="12" t="s">
        <v>114</v>
      </c>
      <c r="U62" s="12" t="s">
        <v>114</v>
      </c>
      <c r="V62" s="11"/>
    </row>
    <row r="63" spans="1:22" ht="20.100000000000001" customHeight="1" x14ac:dyDescent="0.2">
      <c r="A63" s="22">
        <v>1654554</v>
      </c>
      <c r="B63" s="22">
        <v>1264469</v>
      </c>
      <c r="C63" s="12" t="s">
        <v>65</v>
      </c>
      <c r="D63" s="12" t="s">
        <v>235</v>
      </c>
      <c r="E63" s="12" t="s">
        <v>236</v>
      </c>
      <c r="F63" s="12" t="s">
        <v>6</v>
      </c>
      <c r="G63" s="12" t="s">
        <v>78</v>
      </c>
      <c r="H63" s="12" t="s">
        <v>91</v>
      </c>
      <c r="I63" s="12" t="s">
        <v>80</v>
      </c>
      <c r="J63" s="32">
        <v>100</v>
      </c>
      <c r="K63" s="12" t="s">
        <v>98</v>
      </c>
      <c r="L63" s="31" t="s">
        <v>210</v>
      </c>
      <c r="M63" s="32" t="s">
        <v>255</v>
      </c>
      <c r="N63" s="32">
        <v>1</v>
      </c>
      <c r="O63" s="12">
        <v>12399</v>
      </c>
      <c r="P63" s="13" t="s">
        <v>12</v>
      </c>
      <c r="Q63" s="14">
        <v>45549</v>
      </c>
      <c r="R63" s="14">
        <v>45616</v>
      </c>
      <c r="S63" s="14">
        <v>45566</v>
      </c>
      <c r="T63" s="31" t="s">
        <v>272</v>
      </c>
      <c r="U63" s="12" t="s">
        <v>116</v>
      </c>
      <c r="V63" s="11"/>
    </row>
    <row r="64" spans="1:22" ht="20.100000000000001" customHeight="1" x14ac:dyDescent="0.2">
      <c r="A64" s="22">
        <v>1644504</v>
      </c>
      <c r="B64" s="22">
        <v>1261644</v>
      </c>
      <c r="C64" s="12" t="s">
        <v>69</v>
      </c>
      <c r="D64" s="12" t="s">
        <v>34</v>
      </c>
      <c r="E64" s="12" t="s">
        <v>34</v>
      </c>
      <c r="F64" s="12" t="s">
        <v>6</v>
      </c>
      <c r="G64" s="32" t="s">
        <v>88</v>
      </c>
      <c r="H64" s="12" t="s">
        <v>90</v>
      </c>
      <c r="I64" s="31" t="s">
        <v>210</v>
      </c>
      <c r="J64" s="31" t="s">
        <v>210</v>
      </c>
      <c r="K64" s="12" t="s">
        <v>94</v>
      </c>
      <c r="L64" s="12" t="s">
        <v>98</v>
      </c>
      <c r="M64" s="32" t="s">
        <v>271</v>
      </c>
      <c r="N64" s="32">
        <v>4</v>
      </c>
      <c r="O64" s="12">
        <v>21999</v>
      </c>
      <c r="P64" s="13" t="s">
        <v>12</v>
      </c>
      <c r="Q64" s="14">
        <v>45549</v>
      </c>
      <c r="R64" s="14">
        <v>45616</v>
      </c>
      <c r="S64" s="14">
        <v>45574</v>
      </c>
      <c r="T64" s="12" t="s">
        <v>274</v>
      </c>
      <c r="U64" s="42" t="s">
        <v>135</v>
      </c>
      <c r="V64" s="11"/>
    </row>
    <row r="65" spans="1:22" ht="20.100000000000001" customHeight="1" x14ac:dyDescent="0.2">
      <c r="A65" s="22">
        <v>1655447</v>
      </c>
      <c r="B65" s="22">
        <v>1264684</v>
      </c>
      <c r="C65" s="12" t="s">
        <v>72</v>
      </c>
      <c r="D65" s="12" t="s">
        <v>32</v>
      </c>
      <c r="E65" s="12" t="s">
        <v>32</v>
      </c>
      <c r="F65" s="12" t="s">
        <v>6</v>
      </c>
      <c r="G65" s="12" t="s">
        <v>78</v>
      </c>
      <c r="H65" s="12" t="s">
        <v>91</v>
      </c>
      <c r="I65" s="12" t="s">
        <v>80</v>
      </c>
      <c r="J65" s="32">
        <v>80</v>
      </c>
      <c r="K65" s="12" t="s">
        <v>93</v>
      </c>
      <c r="L65" s="15" t="s">
        <v>93</v>
      </c>
      <c r="M65" s="32" t="s">
        <v>255</v>
      </c>
      <c r="N65" s="32">
        <v>1</v>
      </c>
      <c r="O65" s="12">
        <v>10999</v>
      </c>
      <c r="P65" s="13" t="s">
        <v>58</v>
      </c>
      <c r="Q65" s="14">
        <v>45549</v>
      </c>
      <c r="R65" s="14">
        <v>45616</v>
      </c>
      <c r="S65" s="14">
        <v>45581</v>
      </c>
      <c r="T65" s="12" t="s">
        <v>274</v>
      </c>
      <c r="U65" s="42" t="s">
        <v>135</v>
      </c>
      <c r="V65" s="11"/>
    </row>
    <row r="66" spans="1:22" ht="20.100000000000001" customHeight="1" x14ac:dyDescent="0.25">
      <c r="A66" s="23">
        <v>1679731</v>
      </c>
      <c r="B66" s="23">
        <v>1271291</v>
      </c>
      <c r="C66" s="24" t="s">
        <v>213</v>
      </c>
      <c r="D66" s="12" t="s">
        <v>53</v>
      </c>
      <c r="E66" s="12" t="s">
        <v>53</v>
      </c>
      <c r="F66" s="25" t="s">
        <v>6</v>
      </c>
      <c r="G66" s="25" t="s">
        <v>78</v>
      </c>
      <c r="H66" s="25" t="s">
        <v>91</v>
      </c>
      <c r="I66" s="25" t="s">
        <v>83</v>
      </c>
      <c r="J66" s="32">
        <v>80</v>
      </c>
      <c r="K66" s="25" t="s">
        <v>93</v>
      </c>
      <c r="L66" s="31" t="s">
        <v>210</v>
      </c>
      <c r="M66" s="26"/>
      <c r="N66" s="32">
        <v>1</v>
      </c>
      <c r="O66" s="25">
        <v>10999</v>
      </c>
      <c r="P66" s="27" t="s">
        <v>58</v>
      </c>
      <c r="Q66" s="14">
        <v>45550</v>
      </c>
      <c r="R66" s="28">
        <v>45616</v>
      </c>
      <c r="S66" s="28">
        <v>45581</v>
      </c>
      <c r="T66" s="12" t="s">
        <v>274</v>
      </c>
      <c r="U66" s="29" t="s">
        <v>135</v>
      </c>
      <c r="V66" s="11"/>
    </row>
    <row r="67" spans="1:22" ht="20.100000000000001" customHeight="1" x14ac:dyDescent="0.25">
      <c r="A67" s="23">
        <v>1679739</v>
      </c>
      <c r="B67" s="23">
        <v>1271291</v>
      </c>
      <c r="C67" s="24" t="s">
        <v>213</v>
      </c>
      <c r="D67" s="12" t="s">
        <v>53</v>
      </c>
      <c r="E67" s="12" t="s">
        <v>53</v>
      </c>
      <c r="F67" s="25" t="s">
        <v>6</v>
      </c>
      <c r="G67" s="25" t="s">
        <v>78</v>
      </c>
      <c r="H67" s="25" t="s">
        <v>91</v>
      </c>
      <c r="I67" s="25" t="s">
        <v>83</v>
      </c>
      <c r="J67" s="32">
        <v>80</v>
      </c>
      <c r="K67" s="25" t="s">
        <v>93</v>
      </c>
      <c r="L67" s="31" t="s">
        <v>210</v>
      </c>
      <c r="M67" s="26"/>
      <c r="N67" s="32">
        <v>1</v>
      </c>
      <c r="O67" s="25">
        <v>10999</v>
      </c>
      <c r="P67" s="27" t="s">
        <v>58</v>
      </c>
      <c r="Q67" s="14">
        <v>45550</v>
      </c>
      <c r="R67" s="28">
        <v>45616</v>
      </c>
      <c r="S67" s="28">
        <v>45581</v>
      </c>
      <c r="T67" s="12" t="s">
        <v>274</v>
      </c>
      <c r="U67" s="29" t="s">
        <v>135</v>
      </c>
      <c r="V67" s="11"/>
    </row>
    <row r="68" spans="1:22" ht="20.100000000000001" customHeight="1" x14ac:dyDescent="0.25">
      <c r="A68" s="23">
        <v>1670668</v>
      </c>
      <c r="B68" s="23">
        <v>1268695</v>
      </c>
      <c r="C68" s="24" t="s">
        <v>214</v>
      </c>
      <c r="D68" s="24" t="s">
        <v>218</v>
      </c>
      <c r="E68" s="24" t="s">
        <v>218</v>
      </c>
      <c r="F68" s="25" t="s">
        <v>6</v>
      </c>
      <c r="G68" s="32" t="s">
        <v>88</v>
      </c>
      <c r="H68" s="25" t="s">
        <v>90</v>
      </c>
      <c r="I68" s="31" t="s">
        <v>210</v>
      </c>
      <c r="J68" s="31" t="s">
        <v>210</v>
      </c>
      <c r="K68" s="25" t="s">
        <v>94</v>
      </c>
      <c r="L68" s="25" t="s">
        <v>98</v>
      </c>
      <c r="M68" s="26"/>
      <c r="N68" s="32">
        <v>1</v>
      </c>
      <c r="O68" s="25">
        <v>21999</v>
      </c>
      <c r="P68" s="27" t="s">
        <v>58</v>
      </c>
      <c r="Q68" s="14">
        <v>45550</v>
      </c>
      <c r="R68" s="28">
        <v>45616</v>
      </c>
      <c r="S68" s="28">
        <v>45584</v>
      </c>
      <c r="T68" s="12" t="s">
        <v>274</v>
      </c>
      <c r="U68" s="25" t="s">
        <v>135</v>
      </c>
      <c r="V68" s="11"/>
    </row>
    <row r="69" spans="1:22" ht="20.100000000000001" customHeight="1" x14ac:dyDescent="0.25">
      <c r="A69" s="43">
        <v>1416625</v>
      </c>
      <c r="B69" s="43">
        <v>1205197</v>
      </c>
      <c r="C69" s="31" t="s">
        <v>115</v>
      </c>
      <c r="D69" s="50" t="s">
        <v>76</v>
      </c>
      <c r="E69" s="50" t="s">
        <v>76</v>
      </c>
      <c r="F69" s="12" t="s">
        <v>6</v>
      </c>
      <c r="G69" s="32" t="s">
        <v>171</v>
      </c>
      <c r="H69" s="12" t="s">
        <v>109</v>
      </c>
      <c r="I69" s="31" t="s">
        <v>210</v>
      </c>
      <c r="J69" s="31" t="s">
        <v>210</v>
      </c>
      <c r="K69" s="31" t="s">
        <v>210</v>
      </c>
      <c r="L69" s="31" t="s">
        <v>210</v>
      </c>
      <c r="M69" s="32"/>
      <c r="N69" s="32">
        <v>1</v>
      </c>
      <c r="O69" s="31">
        <v>7849</v>
      </c>
      <c r="P69" s="33">
        <v>6306</v>
      </c>
      <c r="Q69" s="14">
        <v>45551</v>
      </c>
      <c r="R69" s="14">
        <v>45595</v>
      </c>
      <c r="S69" s="39">
        <v>45610</v>
      </c>
      <c r="T69" s="31" t="s">
        <v>272</v>
      </c>
      <c r="U69" s="12" t="s">
        <v>116</v>
      </c>
      <c r="V69" s="11"/>
    </row>
    <row r="70" spans="1:22" ht="20.100000000000001" customHeight="1" x14ac:dyDescent="0.25">
      <c r="A70" s="35" t="s">
        <v>210</v>
      </c>
      <c r="B70" s="35" t="s">
        <v>210</v>
      </c>
      <c r="C70" s="32" t="s">
        <v>42</v>
      </c>
      <c r="D70" s="12" t="s">
        <v>155</v>
      </c>
      <c r="E70" s="12" t="s">
        <v>155</v>
      </c>
      <c r="F70" s="12" t="s">
        <v>29</v>
      </c>
      <c r="G70" s="32" t="s">
        <v>78</v>
      </c>
      <c r="H70" s="32" t="s">
        <v>91</v>
      </c>
      <c r="I70" s="32" t="s">
        <v>83</v>
      </c>
      <c r="J70" s="32">
        <v>80</v>
      </c>
      <c r="K70" s="32" t="s">
        <v>93</v>
      </c>
      <c r="L70" s="31" t="s">
        <v>210</v>
      </c>
      <c r="M70" s="32"/>
      <c r="N70" s="32">
        <v>1</v>
      </c>
      <c r="O70" s="32">
        <v>5074</v>
      </c>
      <c r="P70" s="36" t="s">
        <v>43</v>
      </c>
      <c r="Q70" s="38">
        <v>45556</v>
      </c>
      <c r="R70" s="38">
        <v>45570</v>
      </c>
      <c r="S70" s="38">
        <v>45577</v>
      </c>
      <c r="T70" s="12" t="s">
        <v>274</v>
      </c>
      <c r="U70" s="42" t="s">
        <v>135</v>
      </c>
      <c r="V70" s="11"/>
    </row>
    <row r="71" spans="1:22" ht="20.100000000000001" customHeight="1" x14ac:dyDescent="0.25">
      <c r="A71" s="44">
        <v>2514</v>
      </c>
      <c r="B71" s="44">
        <v>2514</v>
      </c>
      <c r="C71" s="32" t="s">
        <v>21</v>
      </c>
      <c r="D71" s="12" t="s">
        <v>22</v>
      </c>
      <c r="E71" s="12" t="s">
        <v>22</v>
      </c>
      <c r="F71" s="12" t="s">
        <v>23</v>
      </c>
      <c r="G71" s="32" t="s">
        <v>78</v>
      </c>
      <c r="H71" s="32" t="s">
        <v>91</v>
      </c>
      <c r="I71" s="32" t="s">
        <v>82</v>
      </c>
      <c r="J71" s="32">
        <v>100</v>
      </c>
      <c r="K71" s="32" t="s">
        <v>117</v>
      </c>
      <c r="L71" s="31" t="s">
        <v>210</v>
      </c>
      <c r="M71" s="32"/>
      <c r="N71" s="32">
        <v>1</v>
      </c>
      <c r="O71" s="32">
        <v>6250</v>
      </c>
      <c r="P71" s="36" t="s">
        <v>43</v>
      </c>
      <c r="Q71" s="38">
        <v>45558</v>
      </c>
      <c r="R71" s="38">
        <v>45573</v>
      </c>
      <c r="S71" s="38">
        <v>45582</v>
      </c>
      <c r="T71" s="12" t="s">
        <v>274</v>
      </c>
      <c r="U71" s="42" t="s">
        <v>135</v>
      </c>
      <c r="V71" s="11"/>
    </row>
    <row r="72" spans="1:22" ht="20.100000000000001" customHeight="1" x14ac:dyDescent="0.25">
      <c r="A72" s="44">
        <v>2514</v>
      </c>
      <c r="B72" s="44">
        <v>2514</v>
      </c>
      <c r="C72" s="32" t="s">
        <v>21</v>
      </c>
      <c r="D72" s="12" t="s">
        <v>22</v>
      </c>
      <c r="E72" s="12" t="s">
        <v>22</v>
      </c>
      <c r="F72" s="12" t="s">
        <v>23</v>
      </c>
      <c r="G72" s="32" t="s">
        <v>78</v>
      </c>
      <c r="H72" s="32" t="s">
        <v>91</v>
      </c>
      <c r="I72" s="32" t="s">
        <v>82</v>
      </c>
      <c r="J72" s="32">
        <v>100</v>
      </c>
      <c r="K72" s="32" t="s">
        <v>117</v>
      </c>
      <c r="L72" s="31" t="s">
        <v>210</v>
      </c>
      <c r="M72" s="32"/>
      <c r="N72" s="32">
        <v>1</v>
      </c>
      <c r="O72" s="32">
        <v>6250</v>
      </c>
      <c r="P72" s="36" t="s">
        <v>43</v>
      </c>
      <c r="Q72" s="38">
        <v>45558</v>
      </c>
      <c r="R72" s="38">
        <v>45573</v>
      </c>
      <c r="S72" s="38">
        <v>45582</v>
      </c>
      <c r="T72" s="12" t="s">
        <v>274</v>
      </c>
      <c r="U72" s="42" t="s">
        <v>135</v>
      </c>
      <c r="V72" s="11"/>
    </row>
    <row r="73" spans="1:22" ht="20.100000000000001" customHeight="1" x14ac:dyDescent="0.25">
      <c r="A73" s="44">
        <v>1706794</v>
      </c>
      <c r="B73" s="44">
        <v>1281428</v>
      </c>
      <c r="C73" s="32" t="s">
        <v>118</v>
      </c>
      <c r="D73" s="12" t="s">
        <v>22</v>
      </c>
      <c r="E73" s="12" t="s">
        <v>22</v>
      </c>
      <c r="F73" s="12" t="s">
        <v>6</v>
      </c>
      <c r="G73" s="32" t="s">
        <v>78</v>
      </c>
      <c r="H73" s="32" t="s">
        <v>81</v>
      </c>
      <c r="I73" s="32" t="s">
        <v>103</v>
      </c>
      <c r="J73" s="32">
        <v>120</v>
      </c>
      <c r="K73" s="32" t="s">
        <v>93</v>
      </c>
      <c r="L73" s="31" t="s">
        <v>210</v>
      </c>
      <c r="M73" s="32"/>
      <c r="N73" s="32">
        <v>1</v>
      </c>
      <c r="O73" s="32">
        <v>8943</v>
      </c>
      <c r="P73" s="36">
        <v>9033</v>
      </c>
      <c r="Q73" s="38">
        <v>45561</v>
      </c>
      <c r="R73" s="38">
        <v>45606</v>
      </c>
      <c r="S73" s="38">
        <v>45575</v>
      </c>
      <c r="T73" s="12" t="s">
        <v>274</v>
      </c>
      <c r="U73" s="42" t="s">
        <v>135</v>
      </c>
      <c r="V73" s="11"/>
    </row>
    <row r="74" spans="1:22" ht="20.100000000000001" customHeight="1" x14ac:dyDescent="0.25">
      <c r="A74" s="44">
        <v>1704621</v>
      </c>
      <c r="B74" s="44">
        <v>1280197</v>
      </c>
      <c r="C74" s="32" t="s">
        <v>119</v>
      </c>
      <c r="D74" s="12" t="s">
        <v>229</v>
      </c>
      <c r="E74" s="12" t="s">
        <v>222</v>
      </c>
      <c r="F74" s="12" t="s">
        <v>6</v>
      </c>
      <c r="G74" s="32" t="s">
        <v>171</v>
      </c>
      <c r="H74" s="32" t="s">
        <v>111</v>
      </c>
      <c r="I74" s="31" t="s">
        <v>210</v>
      </c>
      <c r="J74" s="31" t="s">
        <v>210</v>
      </c>
      <c r="K74" s="31" t="s">
        <v>210</v>
      </c>
      <c r="L74" s="31" t="s">
        <v>210</v>
      </c>
      <c r="M74" s="32"/>
      <c r="N74" s="32">
        <v>1</v>
      </c>
      <c r="O74" s="32">
        <v>8349</v>
      </c>
      <c r="P74" s="36">
        <v>8433</v>
      </c>
      <c r="Q74" s="38">
        <v>45561</v>
      </c>
      <c r="R74" s="38">
        <v>45606</v>
      </c>
      <c r="S74" s="32" t="s">
        <v>210</v>
      </c>
      <c r="T74" s="12" t="s">
        <v>114</v>
      </c>
      <c r="U74" s="12" t="s">
        <v>114</v>
      </c>
      <c r="V74" s="11"/>
    </row>
    <row r="75" spans="1:22" ht="20.100000000000001" customHeight="1" x14ac:dyDescent="0.25">
      <c r="A75" s="44">
        <v>240078066</v>
      </c>
      <c r="B75" s="35" t="s">
        <v>210</v>
      </c>
      <c r="C75" s="32" t="s">
        <v>18</v>
      </c>
      <c r="D75" s="12" t="s">
        <v>227</v>
      </c>
      <c r="E75" s="12" t="s">
        <v>228</v>
      </c>
      <c r="F75" s="12" t="s">
        <v>27</v>
      </c>
      <c r="G75" s="32" t="s">
        <v>88</v>
      </c>
      <c r="H75" s="25" t="s">
        <v>90</v>
      </c>
      <c r="I75" s="31" t="s">
        <v>210</v>
      </c>
      <c r="J75" s="31" t="s">
        <v>210</v>
      </c>
      <c r="K75" s="31" t="s">
        <v>210</v>
      </c>
      <c r="L75" s="32" t="s">
        <v>131</v>
      </c>
      <c r="M75" s="32"/>
      <c r="N75" s="32">
        <v>1</v>
      </c>
      <c r="O75" s="32">
        <v>14950</v>
      </c>
      <c r="P75" s="36" t="s">
        <v>12</v>
      </c>
      <c r="Q75" s="38">
        <v>45561</v>
      </c>
      <c r="R75" s="38">
        <v>45579</v>
      </c>
      <c r="S75" s="14">
        <v>45578</v>
      </c>
      <c r="T75" s="12" t="s">
        <v>274</v>
      </c>
      <c r="U75" s="12" t="s">
        <v>116</v>
      </c>
      <c r="V75" s="11"/>
    </row>
    <row r="76" spans="1:22" ht="20.100000000000001" customHeight="1" x14ac:dyDescent="0.2">
      <c r="A76" s="46">
        <v>240077789</v>
      </c>
      <c r="B76" s="35" t="s">
        <v>210</v>
      </c>
      <c r="C76" s="32" t="s">
        <v>18</v>
      </c>
      <c r="D76" s="12" t="s">
        <v>210</v>
      </c>
      <c r="E76" s="12" t="s">
        <v>210</v>
      </c>
      <c r="F76" s="12" t="s">
        <v>27</v>
      </c>
      <c r="G76" s="32" t="s">
        <v>78</v>
      </c>
      <c r="H76" s="32" t="s">
        <v>91</v>
      </c>
      <c r="I76" s="32" t="s">
        <v>82</v>
      </c>
      <c r="J76" s="32">
        <v>100</v>
      </c>
      <c r="K76" s="32" t="s">
        <v>120</v>
      </c>
      <c r="L76" s="31" t="s">
        <v>210</v>
      </c>
      <c r="M76" s="32"/>
      <c r="N76" s="32">
        <v>1</v>
      </c>
      <c r="O76" s="32">
        <v>9208</v>
      </c>
      <c r="P76" s="36">
        <v>9608</v>
      </c>
      <c r="Q76" s="38">
        <v>45561</v>
      </c>
      <c r="R76" s="38">
        <v>45579</v>
      </c>
      <c r="S76" s="32" t="s">
        <v>210</v>
      </c>
      <c r="T76" s="12" t="s">
        <v>114</v>
      </c>
      <c r="U76" s="12" t="s">
        <v>114</v>
      </c>
      <c r="V76" s="11"/>
    </row>
    <row r="77" spans="1:22" ht="20.100000000000001" customHeight="1" x14ac:dyDescent="0.2">
      <c r="A77" s="46">
        <v>240078390</v>
      </c>
      <c r="B77" s="35" t="s">
        <v>210</v>
      </c>
      <c r="C77" s="32" t="s">
        <v>18</v>
      </c>
      <c r="D77" s="12" t="s">
        <v>210</v>
      </c>
      <c r="E77" s="12" t="s">
        <v>210</v>
      </c>
      <c r="F77" s="12" t="s">
        <v>27</v>
      </c>
      <c r="G77" s="32" t="s">
        <v>78</v>
      </c>
      <c r="H77" s="32" t="s">
        <v>81</v>
      </c>
      <c r="I77" s="32" t="s">
        <v>84</v>
      </c>
      <c r="J77" s="32">
        <v>120</v>
      </c>
      <c r="K77" s="32" t="s">
        <v>93</v>
      </c>
      <c r="L77" s="31" t="s">
        <v>210</v>
      </c>
      <c r="M77" s="32"/>
      <c r="N77" s="32">
        <v>1</v>
      </c>
      <c r="O77" s="32">
        <v>7433</v>
      </c>
      <c r="P77" s="36" t="s">
        <v>12</v>
      </c>
      <c r="Q77" s="38">
        <v>45564</v>
      </c>
      <c r="R77" s="38">
        <v>45585</v>
      </c>
      <c r="S77" s="14">
        <v>45586</v>
      </c>
      <c r="T77" s="12" t="s">
        <v>274</v>
      </c>
      <c r="U77" s="12" t="s">
        <v>116</v>
      </c>
      <c r="V77" s="11"/>
    </row>
    <row r="78" spans="1:22" ht="20.100000000000001" customHeight="1" x14ac:dyDescent="0.25">
      <c r="A78" s="35" t="s">
        <v>210</v>
      </c>
      <c r="B78" s="35" t="s">
        <v>210</v>
      </c>
      <c r="C78" s="32" t="s">
        <v>42</v>
      </c>
      <c r="D78" s="12" t="s">
        <v>155</v>
      </c>
      <c r="E78" s="12" t="s">
        <v>155</v>
      </c>
      <c r="F78" s="12" t="s">
        <v>29</v>
      </c>
      <c r="G78" s="32" t="s">
        <v>78</v>
      </c>
      <c r="H78" s="32" t="s">
        <v>81</v>
      </c>
      <c r="I78" s="32" t="s">
        <v>103</v>
      </c>
      <c r="J78" s="32">
        <v>120</v>
      </c>
      <c r="K78" s="32" t="s">
        <v>93</v>
      </c>
      <c r="L78" s="31" t="s">
        <v>210</v>
      </c>
      <c r="M78" s="32"/>
      <c r="N78" s="32">
        <v>1</v>
      </c>
      <c r="O78" s="32">
        <v>4020</v>
      </c>
      <c r="P78" s="36" t="s">
        <v>43</v>
      </c>
      <c r="Q78" s="38">
        <v>45564</v>
      </c>
      <c r="R78" s="38">
        <v>45577</v>
      </c>
      <c r="S78" s="38">
        <v>45577</v>
      </c>
      <c r="T78" s="12" t="s">
        <v>274</v>
      </c>
      <c r="U78" s="42" t="s">
        <v>135</v>
      </c>
      <c r="V78" s="11"/>
    </row>
    <row r="79" spans="1:22" ht="20.100000000000001" customHeight="1" x14ac:dyDescent="0.25">
      <c r="A79" s="35" t="s">
        <v>210</v>
      </c>
      <c r="B79" s="35" t="s">
        <v>210</v>
      </c>
      <c r="C79" s="32" t="s">
        <v>122</v>
      </c>
      <c r="D79" s="12" t="s">
        <v>123</v>
      </c>
      <c r="E79" s="12" t="s">
        <v>123</v>
      </c>
      <c r="F79" s="12" t="s">
        <v>124</v>
      </c>
      <c r="G79" s="32" t="s">
        <v>78</v>
      </c>
      <c r="H79" s="32" t="s">
        <v>91</v>
      </c>
      <c r="I79" s="32" t="s">
        <v>125</v>
      </c>
      <c r="J79" s="32">
        <v>100</v>
      </c>
      <c r="K79" s="32" t="s">
        <v>126</v>
      </c>
      <c r="L79" s="31" t="s">
        <v>210</v>
      </c>
      <c r="M79" s="32"/>
      <c r="N79" s="32">
        <v>1</v>
      </c>
      <c r="O79" s="52">
        <v>8544.9054400000005</v>
      </c>
      <c r="P79" s="32" t="s">
        <v>210</v>
      </c>
      <c r="Q79" s="38">
        <v>45566</v>
      </c>
      <c r="R79" s="38">
        <v>45574</v>
      </c>
      <c r="S79" s="38">
        <v>45574</v>
      </c>
      <c r="T79" s="32" t="s">
        <v>273</v>
      </c>
      <c r="U79" s="12" t="s">
        <v>116</v>
      </c>
      <c r="V79" s="11"/>
    </row>
    <row r="80" spans="1:22" ht="20.100000000000001" customHeight="1" x14ac:dyDescent="0.35">
      <c r="A80" s="35" t="s">
        <v>210</v>
      </c>
      <c r="B80" s="35" t="s">
        <v>210</v>
      </c>
      <c r="C80" s="32" t="s">
        <v>122</v>
      </c>
      <c r="D80" s="12" t="s">
        <v>123</v>
      </c>
      <c r="E80" s="12" t="s">
        <v>123</v>
      </c>
      <c r="F80" s="12" t="s">
        <v>124</v>
      </c>
      <c r="G80" s="32" t="s">
        <v>78</v>
      </c>
      <c r="H80" s="32" t="s">
        <v>79</v>
      </c>
      <c r="I80" s="31" t="s">
        <v>210</v>
      </c>
      <c r="J80" s="31" t="s">
        <v>210</v>
      </c>
      <c r="K80" s="32" t="s">
        <v>94</v>
      </c>
      <c r="L80" s="32" t="s">
        <v>129</v>
      </c>
      <c r="M80" s="32"/>
      <c r="N80" s="32">
        <v>1</v>
      </c>
      <c r="O80" s="47">
        <v>4600</v>
      </c>
      <c r="P80" s="32" t="s">
        <v>210</v>
      </c>
      <c r="Q80" s="38">
        <v>45566</v>
      </c>
      <c r="R80" s="38">
        <v>45574</v>
      </c>
      <c r="S80" s="38">
        <v>45574</v>
      </c>
      <c r="T80" s="32" t="s">
        <v>273</v>
      </c>
      <c r="U80" s="12" t="s">
        <v>116</v>
      </c>
      <c r="V80" s="11"/>
    </row>
    <row r="81" spans="1:22" ht="20.100000000000001" customHeight="1" x14ac:dyDescent="0.25">
      <c r="A81" s="35" t="s">
        <v>210</v>
      </c>
      <c r="B81" s="35" t="s">
        <v>210</v>
      </c>
      <c r="C81" s="32" t="s">
        <v>122</v>
      </c>
      <c r="D81" s="12" t="s">
        <v>123</v>
      </c>
      <c r="E81" s="12" t="s">
        <v>123</v>
      </c>
      <c r="F81" s="12" t="s">
        <v>124</v>
      </c>
      <c r="G81" s="32" t="s">
        <v>88</v>
      </c>
      <c r="H81" s="32" t="s">
        <v>127</v>
      </c>
      <c r="I81" s="31" t="s">
        <v>210</v>
      </c>
      <c r="J81" s="31" t="s">
        <v>210</v>
      </c>
      <c r="K81" s="32" t="s">
        <v>94</v>
      </c>
      <c r="L81" s="32" t="s">
        <v>128</v>
      </c>
      <c r="M81" s="32"/>
      <c r="N81" s="32">
        <v>1</v>
      </c>
      <c r="O81" s="32">
        <v>10000</v>
      </c>
      <c r="P81" s="32" t="s">
        <v>210</v>
      </c>
      <c r="Q81" s="38">
        <v>45566</v>
      </c>
      <c r="R81" s="38">
        <v>45574</v>
      </c>
      <c r="S81" s="38">
        <v>45574</v>
      </c>
      <c r="T81" s="32" t="s">
        <v>273</v>
      </c>
      <c r="U81" s="12" t="s">
        <v>116</v>
      </c>
      <c r="V81" s="11"/>
    </row>
    <row r="82" spans="1:22" ht="20.100000000000001" customHeight="1" x14ac:dyDescent="0.25">
      <c r="A82" s="35" t="s">
        <v>210</v>
      </c>
      <c r="B82" s="35" t="s">
        <v>210</v>
      </c>
      <c r="C82" s="32" t="s">
        <v>122</v>
      </c>
      <c r="D82" s="12" t="s">
        <v>123</v>
      </c>
      <c r="E82" s="12" t="s">
        <v>123</v>
      </c>
      <c r="F82" s="12" t="s">
        <v>124</v>
      </c>
      <c r="G82" s="32" t="s">
        <v>130</v>
      </c>
      <c r="H82" s="32" t="s">
        <v>130</v>
      </c>
      <c r="I82" s="31" t="s">
        <v>210</v>
      </c>
      <c r="J82" s="31" t="s">
        <v>210</v>
      </c>
      <c r="K82" s="32" t="s">
        <v>94</v>
      </c>
      <c r="L82" s="32" t="s">
        <v>131</v>
      </c>
      <c r="M82" s="32"/>
      <c r="N82" s="32">
        <v>1</v>
      </c>
      <c r="O82" s="32" t="s">
        <v>210</v>
      </c>
      <c r="P82" s="32" t="s">
        <v>210</v>
      </c>
      <c r="Q82" s="38">
        <v>45566</v>
      </c>
      <c r="R82" s="38">
        <v>45574</v>
      </c>
      <c r="S82" s="38">
        <v>45574</v>
      </c>
      <c r="T82" s="32" t="s">
        <v>273</v>
      </c>
      <c r="U82" s="12" t="s">
        <v>116</v>
      </c>
      <c r="V82" s="11"/>
    </row>
    <row r="83" spans="1:22" ht="20.100000000000001" customHeight="1" x14ac:dyDescent="0.25">
      <c r="A83" s="44">
        <v>1282228</v>
      </c>
      <c r="B83" s="44">
        <v>1708226</v>
      </c>
      <c r="C83" s="32" t="s">
        <v>132</v>
      </c>
      <c r="D83" s="12" t="s">
        <v>133</v>
      </c>
      <c r="E83" s="12" t="s">
        <v>133</v>
      </c>
      <c r="F83" s="12" t="s">
        <v>6</v>
      </c>
      <c r="G83" s="32" t="s">
        <v>78</v>
      </c>
      <c r="H83" s="32" t="s">
        <v>79</v>
      </c>
      <c r="I83" s="31" t="s">
        <v>210</v>
      </c>
      <c r="J83" s="31" t="s">
        <v>210</v>
      </c>
      <c r="K83" s="32" t="s">
        <v>94</v>
      </c>
      <c r="L83" s="32" t="s">
        <v>94</v>
      </c>
      <c r="M83" s="32"/>
      <c r="N83" s="32">
        <v>1</v>
      </c>
      <c r="O83" s="32">
        <v>8899</v>
      </c>
      <c r="P83" s="36">
        <v>8988</v>
      </c>
      <c r="Q83" s="38">
        <v>45568</v>
      </c>
      <c r="R83" s="38">
        <v>45613</v>
      </c>
      <c r="S83" s="32" t="s">
        <v>210</v>
      </c>
      <c r="T83" s="32" t="s">
        <v>210</v>
      </c>
      <c r="U83" s="32" t="s">
        <v>210</v>
      </c>
      <c r="V83" s="11"/>
    </row>
    <row r="84" spans="1:22" ht="20.100000000000001" customHeight="1" x14ac:dyDescent="0.2">
      <c r="A84" s="46">
        <v>240079328</v>
      </c>
      <c r="B84" s="35" t="s">
        <v>210</v>
      </c>
      <c r="C84" s="32" t="s">
        <v>18</v>
      </c>
      <c r="D84" s="12" t="s">
        <v>240</v>
      </c>
      <c r="E84" s="12" t="s">
        <v>241</v>
      </c>
      <c r="F84" s="12" t="s">
        <v>18</v>
      </c>
      <c r="G84" s="32" t="s">
        <v>88</v>
      </c>
      <c r="H84" s="25" t="s">
        <v>90</v>
      </c>
      <c r="I84" s="31" t="s">
        <v>210</v>
      </c>
      <c r="J84" s="31" t="s">
        <v>210</v>
      </c>
      <c r="K84" s="32" t="s">
        <v>120</v>
      </c>
      <c r="L84" s="32" t="s">
        <v>134</v>
      </c>
      <c r="M84" s="32"/>
      <c r="N84" s="32">
        <v>1</v>
      </c>
      <c r="O84" s="32">
        <v>14550</v>
      </c>
      <c r="P84" s="36" t="s">
        <v>12</v>
      </c>
      <c r="Q84" s="38">
        <v>45573</v>
      </c>
      <c r="R84" s="38">
        <v>45594</v>
      </c>
      <c r="S84" s="14">
        <v>45595</v>
      </c>
      <c r="T84" s="12" t="s">
        <v>274</v>
      </c>
      <c r="U84" s="12" t="s">
        <v>116</v>
      </c>
      <c r="V84" s="11"/>
    </row>
    <row r="85" spans="1:22" ht="20.100000000000001" customHeight="1" x14ac:dyDescent="0.2">
      <c r="A85" s="46">
        <v>240078933</v>
      </c>
      <c r="B85" s="35" t="s">
        <v>210</v>
      </c>
      <c r="C85" s="32" t="s">
        <v>18</v>
      </c>
      <c r="D85" s="12" t="s">
        <v>229</v>
      </c>
      <c r="E85" s="12" t="s">
        <v>222</v>
      </c>
      <c r="F85" s="12" t="s">
        <v>27</v>
      </c>
      <c r="G85" s="32" t="s">
        <v>88</v>
      </c>
      <c r="H85" s="25" t="s">
        <v>90</v>
      </c>
      <c r="I85" s="31" t="s">
        <v>210</v>
      </c>
      <c r="J85" s="31" t="s">
        <v>210</v>
      </c>
      <c r="K85" s="32" t="s">
        <v>120</v>
      </c>
      <c r="L85" s="32" t="s">
        <v>134</v>
      </c>
      <c r="M85" s="32"/>
      <c r="N85" s="32">
        <v>1</v>
      </c>
      <c r="O85" s="32">
        <v>14550</v>
      </c>
      <c r="P85" s="36" t="s">
        <v>12</v>
      </c>
      <c r="Q85" s="38">
        <v>45572</v>
      </c>
      <c r="R85" s="38">
        <v>45594</v>
      </c>
      <c r="S85" s="14">
        <v>45580</v>
      </c>
      <c r="T85" s="12" t="s">
        <v>274</v>
      </c>
      <c r="U85" s="12" t="s">
        <v>116</v>
      </c>
      <c r="V85" s="11"/>
    </row>
    <row r="86" spans="1:22" ht="20.100000000000001" customHeight="1" x14ac:dyDescent="0.25">
      <c r="A86" s="44">
        <v>240079517</v>
      </c>
      <c r="B86" s="35" t="s">
        <v>210</v>
      </c>
      <c r="C86" s="32" t="s">
        <v>18</v>
      </c>
      <c r="D86" s="12" t="s">
        <v>210</v>
      </c>
      <c r="E86" s="12" t="s">
        <v>210</v>
      </c>
      <c r="F86" s="12" t="s">
        <v>18</v>
      </c>
      <c r="G86" s="32" t="s">
        <v>88</v>
      </c>
      <c r="H86" s="25" t="s">
        <v>90</v>
      </c>
      <c r="I86" s="31" t="s">
        <v>210</v>
      </c>
      <c r="J86" s="31" t="s">
        <v>210</v>
      </c>
      <c r="K86" s="32" t="s">
        <v>120</v>
      </c>
      <c r="L86" s="32" t="s">
        <v>131</v>
      </c>
      <c r="M86" s="32"/>
      <c r="N86" s="32">
        <v>1</v>
      </c>
      <c r="O86" s="32">
        <v>14550</v>
      </c>
      <c r="P86" s="36">
        <v>11495</v>
      </c>
      <c r="Q86" s="38">
        <v>45575</v>
      </c>
      <c r="R86" s="38">
        <v>45596</v>
      </c>
      <c r="S86" s="38">
        <v>45598</v>
      </c>
      <c r="T86" s="12" t="s">
        <v>274</v>
      </c>
      <c r="U86" s="12" t="s">
        <v>116</v>
      </c>
      <c r="V86" s="11"/>
    </row>
    <row r="87" spans="1:22" ht="20.100000000000001" customHeight="1" x14ac:dyDescent="0.25">
      <c r="A87" s="44">
        <v>1714623</v>
      </c>
      <c r="B87" s="44">
        <v>1284697</v>
      </c>
      <c r="C87" s="32" t="s">
        <v>215</v>
      </c>
      <c r="D87" s="12" t="s">
        <v>50</v>
      </c>
      <c r="E87" s="12" t="s">
        <v>50</v>
      </c>
      <c r="F87" s="12" t="s">
        <v>6</v>
      </c>
      <c r="G87" s="32" t="s">
        <v>78</v>
      </c>
      <c r="H87" s="32" t="s">
        <v>91</v>
      </c>
      <c r="I87" s="32" t="s">
        <v>136</v>
      </c>
      <c r="J87" s="32" t="s">
        <v>245</v>
      </c>
      <c r="K87" s="32" t="s">
        <v>137</v>
      </c>
      <c r="L87" s="31" t="s">
        <v>210</v>
      </c>
      <c r="M87" s="32"/>
      <c r="N87" s="32">
        <v>1</v>
      </c>
      <c r="O87" s="32">
        <v>12899</v>
      </c>
      <c r="P87" s="36">
        <v>13028</v>
      </c>
      <c r="Q87" s="38">
        <v>45578</v>
      </c>
      <c r="R87" s="38">
        <v>45643</v>
      </c>
      <c r="S87" s="38">
        <v>45598</v>
      </c>
      <c r="T87" s="12" t="s">
        <v>274</v>
      </c>
      <c r="U87" s="12" t="s">
        <v>116</v>
      </c>
      <c r="V87" s="11"/>
    </row>
    <row r="88" spans="1:22" ht="20.100000000000001" customHeight="1" x14ac:dyDescent="0.3">
      <c r="A88" s="48">
        <v>1715473</v>
      </c>
      <c r="B88" s="48">
        <v>1285152</v>
      </c>
      <c r="C88" s="32" t="s">
        <v>55</v>
      </c>
      <c r="D88" s="12" t="s">
        <v>26</v>
      </c>
      <c r="E88" s="12" t="s">
        <v>26</v>
      </c>
      <c r="F88" s="12" t="s">
        <v>6</v>
      </c>
      <c r="G88" s="32" t="s">
        <v>78</v>
      </c>
      <c r="H88" s="32" t="s">
        <v>91</v>
      </c>
      <c r="I88" s="32" t="s">
        <v>83</v>
      </c>
      <c r="J88" s="32">
        <v>80</v>
      </c>
      <c r="K88" s="32" t="s">
        <v>93</v>
      </c>
      <c r="L88" s="31" t="s">
        <v>210</v>
      </c>
      <c r="M88" s="32"/>
      <c r="N88" s="32">
        <v>1</v>
      </c>
      <c r="O88" s="32">
        <v>10499</v>
      </c>
      <c r="P88" s="36" t="s">
        <v>12</v>
      </c>
      <c r="Q88" s="38">
        <v>45581</v>
      </c>
      <c r="R88" s="38">
        <v>45645</v>
      </c>
      <c r="S88" s="14">
        <v>45586</v>
      </c>
      <c r="T88" s="12" t="s">
        <v>274</v>
      </c>
      <c r="U88" s="12" t="s">
        <v>116</v>
      </c>
      <c r="V88" s="11"/>
    </row>
    <row r="89" spans="1:22" ht="20.100000000000001" customHeight="1" x14ac:dyDescent="0.25">
      <c r="A89" s="44">
        <v>1715992</v>
      </c>
      <c r="B89" s="44">
        <v>1285423</v>
      </c>
      <c r="C89" s="32" t="s">
        <v>216</v>
      </c>
      <c r="D89" s="12" t="s">
        <v>242</v>
      </c>
      <c r="E89" s="12" t="s">
        <v>224</v>
      </c>
      <c r="F89" s="12" t="s">
        <v>6</v>
      </c>
      <c r="G89" s="32" t="s">
        <v>78</v>
      </c>
      <c r="H89" s="32" t="s">
        <v>91</v>
      </c>
      <c r="I89" s="32" t="s">
        <v>80</v>
      </c>
      <c r="J89" s="32" t="s">
        <v>245</v>
      </c>
      <c r="K89" s="32" t="s">
        <v>137</v>
      </c>
      <c r="L89" s="31" t="s">
        <v>210</v>
      </c>
      <c r="M89" s="32"/>
      <c r="N89" s="32">
        <v>1</v>
      </c>
      <c r="O89" s="32">
        <v>12899</v>
      </c>
      <c r="P89" s="36" t="s">
        <v>12</v>
      </c>
      <c r="Q89" s="38">
        <v>45582</v>
      </c>
      <c r="R89" s="38">
        <v>45648</v>
      </c>
      <c r="S89" s="38">
        <v>45629</v>
      </c>
      <c r="T89" s="31" t="s">
        <v>272</v>
      </c>
      <c r="U89" s="12" t="s">
        <v>135</v>
      </c>
      <c r="V89" s="11"/>
    </row>
    <row r="90" spans="1:22" ht="20.100000000000001" customHeight="1" x14ac:dyDescent="0.25">
      <c r="A90" s="44">
        <v>3163</v>
      </c>
      <c r="B90" s="35" t="s">
        <v>210</v>
      </c>
      <c r="C90" s="32" t="s">
        <v>138</v>
      </c>
      <c r="D90" s="12" t="s">
        <v>219</v>
      </c>
      <c r="E90" s="12" t="s">
        <v>219</v>
      </c>
      <c r="F90" s="12" t="s">
        <v>139</v>
      </c>
      <c r="G90" s="32" t="s">
        <v>78</v>
      </c>
      <c r="H90" s="32" t="s">
        <v>81</v>
      </c>
      <c r="I90" s="32" t="s">
        <v>140</v>
      </c>
      <c r="J90" s="32">
        <v>140</v>
      </c>
      <c r="K90" s="32" t="s">
        <v>131</v>
      </c>
      <c r="L90" s="32" t="s">
        <v>141</v>
      </c>
      <c r="M90" s="32"/>
      <c r="N90" s="32">
        <v>1</v>
      </c>
      <c r="O90" s="32">
        <v>5135</v>
      </c>
      <c r="P90" s="36" t="s">
        <v>12</v>
      </c>
      <c r="Q90" s="38">
        <v>45585</v>
      </c>
      <c r="R90" s="38">
        <v>45613</v>
      </c>
      <c r="S90" s="38">
        <v>45610</v>
      </c>
      <c r="T90" s="12" t="s">
        <v>274</v>
      </c>
      <c r="U90" s="12" t="s">
        <v>116</v>
      </c>
      <c r="V90" s="11"/>
    </row>
    <row r="91" spans="1:22" ht="20.100000000000001" customHeight="1" x14ac:dyDescent="0.25">
      <c r="A91" s="44">
        <v>240080607</v>
      </c>
      <c r="B91" s="35" t="s">
        <v>210</v>
      </c>
      <c r="C91" s="32" t="s">
        <v>18</v>
      </c>
      <c r="D91" s="12" t="s">
        <v>229</v>
      </c>
      <c r="E91" s="12" t="s">
        <v>222</v>
      </c>
      <c r="F91" s="12" t="s">
        <v>27</v>
      </c>
      <c r="G91" s="32" t="s">
        <v>78</v>
      </c>
      <c r="H91" s="32" t="s">
        <v>91</v>
      </c>
      <c r="I91" s="32" t="s">
        <v>125</v>
      </c>
      <c r="J91" s="32">
        <v>100</v>
      </c>
      <c r="K91" s="32" t="s">
        <v>142</v>
      </c>
      <c r="L91" s="31" t="s">
        <v>210</v>
      </c>
      <c r="M91" s="32"/>
      <c r="N91" s="32">
        <v>1</v>
      </c>
      <c r="O91" s="52">
        <v>12777.5</v>
      </c>
      <c r="P91" s="36">
        <v>11277.5</v>
      </c>
      <c r="Q91" s="38">
        <v>45587</v>
      </c>
      <c r="R91" s="38">
        <v>45608</v>
      </c>
      <c r="S91" s="38">
        <v>45614</v>
      </c>
      <c r="T91" s="12" t="s">
        <v>274</v>
      </c>
      <c r="U91" s="12" t="s">
        <v>116</v>
      </c>
      <c r="V91" s="11"/>
    </row>
    <row r="92" spans="1:22" ht="20.100000000000001" customHeight="1" x14ac:dyDescent="0.25">
      <c r="A92" s="44">
        <v>240080607</v>
      </c>
      <c r="B92" s="35" t="s">
        <v>210</v>
      </c>
      <c r="C92" s="32" t="s">
        <v>18</v>
      </c>
      <c r="D92" s="12" t="s">
        <v>229</v>
      </c>
      <c r="E92" s="12" t="s">
        <v>222</v>
      </c>
      <c r="F92" s="12" t="s">
        <v>27</v>
      </c>
      <c r="G92" s="32" t="s">
        <v>78</v>
      </c>
      <c r="H92" s="32" t="s">
        <v>91</v>
      </c>
      <c r="I92" s="32" t="s">
        <v>125</v>
      </c>
      <c r="J92" s="32">
        <v>100</v>
      </c>
      <c r="K92" s="32" t="s">
        <v>142</v>
      </c>
      <c r="L92" s="31" t="s">
        <v>210</v>
      </c>
      <c r="M92" s="32"/>
      <c r="N92" s="32">
        <v>1</v>
      </c>
      <c r="O92" s="52">
        <v>12777.5</v>
      </c>
      <c r="P92" s="36">
        <v>11277.5</v>
      </c>
      <c r="Q92" s="38">
        <v>45587</v>
      </c>
      <c r="R92" s="38">
        <v>45608</v>
      </c>
      <c r="S92" s="38">
        <v>45614</v>
      </c>
      <c r="T92" s="12" t="s">
        <v>274</v>
      </c>
      <c r="U92" s="12" t="s">
        <v>116</v>
      </c>
      <c r="V92" s="11"/>
    </row>
    <row r="93" spans="1:22" ht="20.100000000000001" customHeight="1" x14ac:dyDescent="0.25">
      <c r="A93" s="35" t="s">
        <v>210</v>
      </c>
      <c r="B93" s="35" t="s">
        <v>210</v>
      </c>
      <c r="C93" s="32" t="s">
        <v>42</v>
      </c>
      <c r="D93" s="12" t="s">
        <v>220</v>
      </c>
      <c r="E93" s="12" t="s">
        <v>220</v>
      </c>
      <c r="F93" s="12" t="s">
        <v>29</v>
      </c>
      <c r="G93" s="32" t="s">
        <v>78</v>
      </c>
      <c r="H93" s="32" t="s">
        <v>91</v>
      </c>
      <c r="I93" s="32" t="s">
        <v>125</v>
      </c>
      <c r="J93" s="32">
        <v>100</v>
      </c>
      <c r="K93" s="32" t="s">
        <v>142</v>
      </c>
      <c r="L93" s="31" t="s">
        <v>210</v>
      </c>
      <c r="M93" s="32"/>
      <c r="N93" s="32">
        <v>1</v>
      </c>
      <c r="O93" s="52">
        <v>8544.91</v>
      </c>
      <c r="P93" s="36" t="s">
        <v>43</v>
      </c>
      <c r="Q93" s="38">
        <v>45587</v>
      </c>
      <c r="R93" s="38" t="s">
        <v>210</v>
      </c>
      <c r="S93" s="32" t="s">
        <v>210</v>
      </c>
      <c r="T93" s="32" t="s">
        <v>194</v>
      </c>
      <c r="U93" s="12" t="s">
        <v>157</v>
      </c>
      <c r="V93" s="11"/>
    </row>
    <row r="94" spans="1:22" ht="20.100000000000001" customHeight="1" x14ac:dyDescent="0.25">
      <c r="A94" s="44">
        <v>1717458</v>
      </c>
      <c r="B94" s="44">
        <v>1286189</v>
      </c>
      <c r="C94" s="32" t="s">
        <v>143</v>
      </c>
      <c r="D94" s="12" t="s">
        <v>229</v>
      </c>
      <c r="E94" s="12" t="s">
        <v>222</v>
      </c>
      <c r="F94" s="12" t="s">
        <v>6</v>
      </c>
      <c r="G94" s="32" t="s">
        <v>78</v>
      </c>
      <c r="H94" s="32" t="s">
        <v>81</v>
      </c>
      <c r="I94" s="32" t="s">
        <v>103</v>
      </c>
      <c r="J94" s="32">
        <v>120</v>
      </c>
      <c r="K94" s="32" t="s">
        <v>93</v>
      </c>
      <c r="L94" s="31" t="s">
        <v>210</v>
      </c>
      <c r="M94" s="32"/>
      <c r="N94" s="32">
        <v>1</v>
      </c>
      <c r="O94" s="32">
        <v>8943</v>
      </c>
      <c r="P94" s="36">
        <v>9007.01</v>
      </c>
      <c r="Q94" s="38">
        <v>45586</v>
      </c>
      <c r="R94" s="38">
        <v>45610</v>
      </c>
      <c r="S94" s="38">
        <v>45614</v>
      </c>
      <c r="T94" s="12" t="s">
        <v>274</v>
      </c>
      <c r="U94" s="12" t="s">
        <v>116</v>
      </c>
      <c r="V94" s="11"/>
    </row>
    <row r="95" spans="1:22" ht="20.100000000000001" customHeight="1" x14ac:dyDescent="0.2">
      <c r="A95" s="46">
        <v>240080858</v>
      </c>
      <c r="B95" s="35" t="s">
        <v>210</v>
      </c>
      <c r="C95" s="32" t="s">
        <v>18</v>
      </c>
      <c r="D95" s="12" t="s">
        <v>210</v>
      </c>
      <c r="E95" s="12" t="s">
        <v>210</v>
      </c>
      <c r="F95" s="12" t="s">
        <v>27</v>
      </c>
      <c r="G95" s="32" t="s">
        <v>88</v>
      </c>
      <c r="H95" s="25" t="s">
        <v>90</v>
      </c>
      <c r="I95" s="31" t="s">
        <v>210</v>
      </c>
      <c r="J95" s="31" t="s">
        <v>210</v>
      </c>
      <c r="K95" s="32" t="s">
        <v>94</v>
      </c>
      <c r="L95" s="31" t="s">
        <v>210</v>
      </c>
      <c r="M95" s="32"/>
      <c r="N95" s="32">
        <v>1</v>
      </c>
      <c r="O95" s="32">
        <v>15516</v>
      </c>
      <c r="P95" s="36" t="s">
        <v>12</v>
      </c>
      <c r="Q95" s="38">
        <v>45589</v>
      </c>
      <c r="R95" s="38">
        <v>45610</v>
      </c>
      <c r="S95" s="14">
        <v>45595</v>
      </c>
      <c r="T95" s="12" t="s">
        <v>274</v>
      </c>
      <c r="U95" s="12" t="s">
        <v>116</v>
      </c>
      <c r="V95" s="11"/>
    </row>
    <row r="96" spans="1:22" ht="20.100000000000001" customHeight="1" x14ac:dyDescent="0.2">
      <c r="A96" s="46">
        <v>240081061</v>
      </c>
      <c r="B96" s="35" t="s">
        <v>210</v>
      </c>
      <c r="C96" s="32" t="s">
        <v>18</v>
      </c>
      <c r="D96" s="12" t="s">
        <v>210</v>
      </c>
      <c r="E96" s="12" t="s">
        <v>210</v>
      </c>
      <c r="F96" s="12" t="s">
        <v>27</v>
      </c>
      <c r="G96" s="32" t="s">
        <v>78</v>
      </c>
      <c r="H96" s="32" t="s">
        <v>91</v>
      </c>
      <c r="I96" s="32" t="s">
        <v>82</v>
      </c>
      <c r="J96" s="32">
        <v>100</v>
      </c>
      <c r="K96" s="32" t="s">
        <v>94</v>
      </c>
      <c r="L96" s="31" t="s">
        <v>210</v>
      </c>
      <c r="M96" s="32"/>
      <c r="N96" s="32">
        <v>1</v>
      </c>
      <c r="O96" s="32">
        <v>10045</v>
      </c>
      <c r="P96" s="36">
        <v>8879</v>
      </c>
      <c r="Q96" s="38">
        <v>45591</v>
      </c>
      <c r="R96" s="38">
        <v>45612</v>
      </c>
      <c r="S96" s="32" t="s">
        <v>210</v>
      </c>
      <c r="T96" s="12" t="s">
        <v>114</v>
      </c>
      <c r="U96" s="12" t="s">
        <v>114</v>
      </c>
      <c r="V96" s="11"/>
    </row>
    <row r="97" spans="1:22" ht="20.100000000000001" customHeight="1" x14ac:dyDescent="0.3">
      <c r="A97" s="48">
        <v>1718948</v>
      </c>
      <c r="B97" s="48">
        <v>1286883</v>
      </c>
      <c r="C97" s="32" t="s">
        <v>68</v>
      </c>
      <c r="D97" s="12" t="s">
        <v>229</v>
      </c>
      <c r="E97" s="12" t="s">
        <v>222</v>
      </c>
      <c r="F97" s="12" t="s">
        <v>6</v>
      </c>
      <c r="G97" s="32" t="s">
        <v>78</v>
      </c>
      <c r="H97" s="32" t="s">
        <v>91</v>
      </c>
      <c r="I97" s="32" t="s">
        <v>82</v>
      </c>
      <c r="J97" s="32">
        <v>90</v>
      </c>
      <c r="K97" s="32" t="s">
        <v>94</v>
      </c>
      <c r="L97" s="31" t="s">
        <v>210</v>
      </c>
      <c r="M97" s="32"/>
      <c r="N97" s="32">
        <v>1</v>
      </c>
      <c r="O97" s="32">
        <v>11649</v>
      </c>
      <c r="P97" s="36">
        <v>11749</v>
      </c>
      <c r="Q97" s="38">
        <v>45591</v>
      </c>
      <c r="R97" s="38">
        <v>45606</v>
      </c>
      <c r="S97" s="38">
        <v>45614</v>
      </c>
      <c r="T97" s="12" t="s">
        <v>274</v>
      </c>
      <c r="U97" s="12" t="s">
        <v>116</v>
      </c>
      <c r="V97" s="11"/>
    </row>
    <row r="98" spans="1:22" ht="20.100000000000001" customHeight="1" x14ac:dyDescent="0.3">
      <c r="A98" s="48">
        <v>1718949</v>
      </c>
      <c r="B98" s="48">
        <v>1286883</v>
      </c>
      <c r="C98" s="32" t="s">
        <v>68</v>
      </c>
      <c r="D98" s="12" t="s">
        <v>229</v>
      </c>
      <c r="E98" s="12" t="s">
        <v>222</v>
      </c>
      <c r="F98" s="12" t="s">
        <v>6</v>
      </c>
      <c r="G98" s="32" t="s">
        <v>78</v>
      </c>
      <c r="H98" s="32" t="s">
        <v>91</v>
      </c>
      <c r="I98" s="32" t="s">
        <v>82</v>
      </c>
      <c r="J98" s="32">
        <v>90</v>
      </c>
      <c r="K98" s="32" t="s">
        <v>94</v>
      </c>
      <c r="L98" s="31" t="s">
        <v>210</v>
      </c>
      <c r="M98" s="32"/>
      <c r="N98" s="32">
        <v>1</v>
      </c>
      <c r="O98" s="32">
        <v>11649</v>
      </c>
      <c r="P98" s="36">
        <v>11749</v>
      </c>
      <c r="Q98" s="38">
        <v>45591</v>
      </c>
      <c r="R98" s="38">
        <v>45606</v>
      </c>
      <c r="S98" s="38">
        <v>45614</v>
      </c>
      <c r="T98" s="12" t="s">
        <v>274</v>
      </c>
      <c r="U98" s="12" t="s">
        <v>116</v>
      </c>
      <c r="V98" s="11"/>
    </row>
    <row r="99" spans="1:22" ht="20.100000000000001" customHeight="1" x14ac:dyDescent="0.25">
      <c r="A99" s="35" t="s">
        <v>210</v>
      </c>
      <c r="B99" s="35" t="s">
        <v>210</v>
      </c>
      <c r="C99" s="32" t="s">
        <v>144</v>
      </c>
      <c r="D99" s="12" t="s">
        <v>53</v>
      </c>
      <c r="E99" s="12" t="s">
        <v>53</v>
      </c>
      <c r="F99" s="12" t="s">
        <v>6</v>
      </c>
      <c r="G99" s="32" t="s">
        <v>78</v>
      </c>
      <c r="H99" s="32" t="s">
        <v>81</v>
      </c>
      <c r="I99" s="32" t="s">
        <v>84</v>
      </c>
      <c r="J99" s="32">
        <v>100</v>
      </c>
      <c r="K99" s="32" t="s">
        <v>93</v>
      </c>
      <c r="L99" s="31" t="s">
        <v>210</v>
      </c>
      <c r="M99" s="32"/>
      <c r="N99" s="32">
        <v>1</v>
      </c>
      <c r="O99" s="32">
        <v>5100</v>
      </c>
      <c r="P99" s="36">
        <v>4800</v>
      </c>
      <c r="Q99" s="38">
        <v>45593</v>
      </c>
      <c r="R99" s="38">
        <v>45607</v>
      </c>
      <c r="S99" s="38">
        <v>45617</v>
      </c>
      <c r="T99" s="12" t="s">
        <v>274</v>
      </c>
      <c r="U99" s="12" t="s">
        <v>116</v>
      </c>
      <c r="V99" s="11"/>
    </row>
    <row r="100" spans="1:22" ht="20.100000000000001" customHeight="1" x14ac:dyDescent="0.25">
      <c r="A100" s="35" t="s">
        <v>210</v>
      </c>
      <c r="B100" s="35" t="s">
        <v>210</v>
      </c>
      <c r="C100" s="32" t="s">
        <v>144</v>
      </c>
      <c r="D100" s="12" t="s">
        <v>53</v>
      </c>
      <c r="E100" s="12" t="s">
        <v>53</v>
      </c>
      <c r="F100" s="12" t="s">
        <v>6</v>
      </c>
      <c r="G100" s="32" t="s">
        <v>78</v>
      </c>
      <c r="H100" s="32" t="s">
        <v>81</v>
      </c>
      <c r="I100" s="32" t="s">
        <v>84</v>
      </c>
      <c r="J100" s="32">
        <v>120</v>
      </c>
      <c r="K100" s="32" t="s">
        <v>93</v>
      </c>
      <c r="L100" s="31" t="s">
        <v>210</v>
      </c>
      <c r="M100" s="32"/>
      <c r="N100" s="32">
        <v>1</v>
      </c>
      <c r="O100" s="32">
        <v>5300</v>
      </c>
      <c r="P100" s="36">
        <v>4800</v>
      </c>
      <c r="Q100" s="38">
        <v>45593</v>
      </c>
      <c r="R100" s="38">
        <v>45607</v>
      </c>
      <c r="S100" s="38">
        <v>45617</v>
      </c>
      <c r="T100" s="12" t="s">
        <v>274</v>
      </c>
      <c r="U100" s="12" t="s">
        <v>116</v>
      </c>
      <c r="V100" s="11"/>
    </row>
    <row r="101" spans="1:22" ht="20.100000000000001" customHeight="1" x14ac:dyDescent="0.3">
      <c r="A101" s="48">
        <v>1744766</v>
      </c>
      <c r="B101" s="48">
        <v>1298738</v>
      </c>
      <c r="C101" s="32" t="s">
        <v>145</v>
      </c>
      <c r="D101" s="12" t="s">
        <v>150</v>
      </c>
      <c r="E101" s="12" t="s">
        <v>150</v>
      </c>
      <c r="F101" s="12" t="s">
        <v>6</v>
      </c>
      <c r="G101" s="32" t="s">
        <v>78</v>
      </c>
      <c r="H101" s="32" t="s">
        <v>91</v>
      </c>
      <c r="I101" s="32" t="s">
        <v>83</v>
      </c>
      <c r="J101" s="32">
        <v>80</v>
      </c>
      <c r="K101" s="32" t="s">
        <v>93</v>
      </c>
      <c r="L101" s="31" t="s">
        <v>210</v>
      </c>
      <c r="M101" s="32"/>
      <c r="N101" s="32">
        <v>1</v>
      </c>
      <c r="O101" s="32">
        <v>12099</v>
      </c>
      <c r="P101" s="36" t="s">
        <v>12</v>
      </c>
      <c r="Q101" s="38">
        <v>45607</v>
      </c>
      <c r="R101" s="38">
        <v>45622</v>
      </c>
      <c r="S101" s="38">
        <v>45623</v>
      </c>
      <c r="T101" s="12" t="s">
        <v>274</v>
      </c>
      <c r="U101" s="12" t="s">
        <v>116</v>
      </c>
      <c r="V101" s="11"/>
    </row>
    <row r="102" spans="1:22" ht="20.100000000000001" customHeight="1" x14ac:dyDescent="0.2">
      <c r="A102" s="46">
        <v>240082226</v>
      </c>
      <c r="B102" s="35" t="s">
        <v>210</v>
      </c>
      <c r="C102" s="32" t="s">
        <v>27</v>
      </c>
      <c r="D102" s="12" t="s">
        <v>240</v>
      </c>
      <c r="E102" s="12" t="s">
        <v>241</v>
      </c>
      <c r="F102" s="12" t="s">
        <v>27</v>
      </c>
      <c r="G102" s="32" t="s">
        <v>88</v>
      </c>
      <c r="H102" s="25" t="s">
        <v>90</v>
      </c>
      <c r="I102" s="32" t="s">
        <v>146</v>
      </c>
      <c r="J102" s="31" t="s">
        <v>210</v>
      </c>
      <c r="K102" s="32" t="s">
        <v>120</v>
      </c>
      <c r="L102" s="32" t="s">
        <v>147</v>
      </c>
      <c r="M102" s="32"/>
      <c r="N102" s="32">
        <v>1</v>
      </c>
      <c r="O102" s="32">
        <v>15872</v>
      </c>
      <c r="P102" s="36" t="s">
        <v>148</v>
      </c>
      <c r="Q102" s="38">
        <v>45604</v>
      </c>
      <c r="R102" s="38">
        <v>45363</v>
      </c>
      <c r="S102" s="38">
        <v>45610</v>
      </c>
      <c r="T102" s="12" t="s">
        <v>274</v>
      </c>
      <c r="U102" s="12" t="s">
        <v>116</v>
      </c>
      <c r="V102" s="11"/>
    </row>
    <row r="103" spans="1:22" ht="20.100000000000001" customHeight="1" x14ac:dyDescent="0.25">
      <c r="A103" s="44">
        <v>3290</v>
      </c>
      <c r="B103" s="35" t="s">
        <v>210</v>
      </c>
      <c r="C103" s="32" t="s">
        <v>149</v>
      </c>
      <c r="D103" s="12" t="s">
        <v>227</v>
      </c>
      <c r="E103" s="12" t="s">
        <v>228</v>
      </c>
      <c r="F103" s="12" t="s">
        <v>149</v>
      </c>
      <c r="G103" s="32" t="s">
        <v>78</v>
      </c>
      <c r="H103" s="32" t="s">
        <v>81</v>
      </c>
      <c r="I103" s="32" t="s">
        <v>103</v>
      </c>
      <c r="J103" s="32">
        <v>120</v>
      </c>
      <c r="K103" s="32" t="s">
        <v>93</v>
      </c>
      <c r="L103" s="31" t="s">
        <v>210</v>
      </c>
      <c r="M103" s="32"/>
      <c r="N103" s="32">
        <v>1</v>
      </c>
      <c r="O103" s="32">
        <v>4520</v>
      </c>
      <c r="P103" s="36" t="s">
        <v>43</v>
      </c>
      <c r="Q103" s="38">
        <v>45606</v>
      </c>
      <c r="R103" s="38">
        <v>45618</v>
      </c>
      <c r="S103" s="38">
        <v>45617</v>
      </c>
      <c r="T103" s="12" t="s">
        <v>274</v>
      </c>
      <c r="U103" s="12" t="s">
        <v>116</v>
      </c>
      <c r="V103" s="11"/>
    </row>
    <row r="104" spans="1:22" ht="20.100000000000001" customHeight="1" x14ac:dyDescent="0.25">
      <c r="A104" s="44">
        <v>6725</v>
      </c>
      <c r="B104" s="35" t="s">
        <v>210</v>
      </c>
      <c r="C104" s="32" t="s">
        <v>42</v>
      </c>
      <c r="D104" s="12" t="s">
        <v>155</v>
      </c>
      <c r="E104" s="12" t="s">
        <v>155</v>
      </c>
      <c r="F104" s="12" t="s">
        <v>29</v>
      </c>
      <c r="G104" s="32" t="s">
        <v>78</v>
      </c>
      <c r="H104" s="32" t="s">
        <v>91</v>
      </c>
      <c r="I104" s="32" t="s">
        <v>82</v>
      </c>
      <c r="J104" s="32">
        <v>90</v>
      </c>
      <c r="K104" s="32" t="s">
        <v>94</v>
      </c>
      <c r="L104" s="31" t="s">
        <v>210</v>
      </c>
      <c r="M104" s="32"/>
      <c r="N104" s="32">
        <v>1</v>
      </c>
      <c r="O104" s="32">
        <v>5766</v>
      </c>
      <c r="P104" s="36" t="s">
        <v>43</v>
      </c>
      <c r="Q104" s="38">
        <v>45608</v>
      </c>
      <c r="R104" s="38">
        <v>45622</v>
      </c>
      <c r="S104" s="38">
        <v>45621</v>
      </c>
      <c r="T104" s="12" t="s">
        <v>274</v>
      </c>
      <c r="U104" s="12" t="s">
        <v>116</v>
      </c>
      <c r="V104" s="11"/>
    </row>
    <row r="105" spans="1:22" ht="20.100000000000001" customHeight="1" x14ac:dyDescent="0.3">
      <c r="A105" s="48">
        <v>1752544</v>
      </c>
      <c r="B105" s="48">
        <v>1302011</v>
      </c>
      <c r="C105" s="32" t="s">
        <v>151</v>
      </c>
      <c r="D105" s="12" t="s">
        <v>53</v>
      </c>
      <c r="E105" s="12" t="s">
        <v>53</v>
      </c>
      <c r="F105" s="12" t="s">
        <v>6</v>
      </c>
      <c r="G105" s="32" t="s">
        <v>78</v>
      </c>
      <c r="H105" s="32" t="s">
        <v>81</v>
      </c>
      <c r="I105" s="32" t="s">
        <v>103</v>
      </c>
      <c r="J105" s="32">
        <v>160</v>
      </c>
      <c r="K105" s="32" t="s">
        <v>99</v>
      </c>
      <c r="L105" s="31" t="s">
        <v>210</v>
      </c>
      <c r="M105" s="32"/>
      <c r="N105" s="32">
        <v>1</v>
      </c>
      <c r="O105" s="32">
        <v>11395</v>
      </c>
      <c r="P105" s="36" t="s">
        <v>12</v>
      </c>
      <c r="Q105" s="38">
        <v>45608</v>
      </c>
      <c r="R105" s="38">
        <v>45620</v>
      </c>
      <c r="S105" s="38">
        <v>45623</v>
      </c>
      <c r="T105" s="12" t="s">
        <v>274</v>
      </c>
      <c r="U105" s="12" t="s">
        <v>116</v>
      </c>
      <c r="V105" s="11"/>
    </row>
    <row r="106" spans="1:22" ht="20.100000000000001" customHeight="1" x14ac:dyDescent="0.3">
      <c r="A106" s="48">
        <v>1755075</v>
      </c>
      <c r="B106" s="48">
        <v>1303159</v>
      </c>
      <c r="C106" s="32" t="s">
        <v>152</v>
      </c>
      <c r="D106" s="12" t="s">
        <v>227</v>
      </c>
      <c r="E106" s="12" t="s">
        <v>228</v>
      </c>
      <c r="F106" s="12" t="s">
        <v>6</v>
      </c>
      <c r="G106" s="32" t="s">
        <v>78</v>
      </c>
      <c r="H106" s="32" t="s">
        <v>91</v>
      </c>
      <c r="I106" s="32" t="s">
        <v>153</v>
      </c>
      <c r="J106" s="32">
        <v>80</v>
      </c>
      <c r="K106" s="32" t="s">
        <v>93</v>
      </c>
      <c r="L106" s="31" t="s">
        <v>210</v>
      </c>
      <c r="M106" s="32"/>
      <c r="N106" s="32">
        <v>1</v>
      </c>
      <c r="O106" s="32">
        <v>12919</v>
      </c>
      <c r="P106" s="36" t="s">
        <v>12</v>
      </c>
      <c r="Q106" s="38">
        <v>45610</v>
      </c>
      <c r="R106" s="38">
        <v>45626</v>
      </c>
      <c r="S106" s="38">
        <v>45623</v>
      </c>
      <c r="T106" s="12" t="s">
        <v>274</v>
      </c>
      <c r="U106" s="12" t="s">
        <v>116</v>
      </c>
      <c r="V106" s="11"/>
    </row>
    <row r="107" spans="1:22" ht="20.100000000000001" customHeight="1" x14ac:dyDescent="0.25">
      <c r="A107" s="44">
        <v>6806</v>
      </c>
      <c r="B107" s="35" t="s">
        <v>210</v>
      </c>
      <c r="C107" s="32" t="s">
        <v>42</v>
      </c>
      <c r="D107" s="12" t="s">
        <v>155</v>
      </c>
      <c r="E107" s="12" t="s">
        <v>155</v>
      </c>
      <c r="F107" s="12" t="s">
        <v>29</v>
      </c>
      <c r="G107" s="32" t="s">
        <v>154</v>
      </c>
      <c r="H107" s="32" t="s">
        <v>91</v>
      </c>
      <c r="I107" s="32" t="s">
        <v>80</v>
      </c>
      <c r="J107" s="32">
        <v>120</v>
      </c>
      <c r="K107" s="32" t="s">
        <v>98</v>
      </c>
      <c r="L107" s="31" t="s">
        <v>210</v>
      </c>
      <c r="M107" s="32"/>
      <c r="N107" s="32">
        <v>1</v>
      </c>
      <c r="O107" s="32">
        <v>6376</v>
      </c>
      <c r="P107" s="36" t="s">
        <v>43</v>
      </c>
      <c r="Q107" s="38">
        <v>45610</v>
      </c>
      <c r="R107" s="38">
        <v>45623</v>
      </c>
      <c r="S107" s="38">
        <v>45621</v>
      </c>
      <c r="T107" s="12" t="s">
        <v>274</v>
      </c>
      <c r="U107" s="12" t="s">
        <v>116</v>
      </c>
      <c r="V107" s="11"/>
    </row>
    <row r="108" spans="1:22" ht="20.100000000000001" customHeight="1" x14ac:dyDescent="0.25">
      <c r="A108" s="44">
        <v>6626</v>
      </c>
      <c r="B108" s="35" t="s">
        <v>210</v>
      </c>
      <c r="C108" s="32" t="s">
        <v>42</v>
      </c>
      <c r="D108" s="12" t="s">
        <v>155</v>
      </c>
      <c r="E108" s="12" t="s">
        <v>155</v>
      </c>
      <c r="F108" s="12" t="s">
        <v>29</v>
      </c>
      <c r="G108" s="32" t="s">
        <v>78</v>
      </c>
      <c r="H108" s="32" t="s">
        <v>156</v>
      </c>
      <c r="I108" s="32" t="s">
        <v>80</v>
      </c>
      <c r="J108" s="32">
        <v>90</v>
      </c>
      <c r="K108" s="32" t="s">
        <v>94</v>
      </c>
      <c r="L108" s="31" t="s">
        <v>210</v>
      </c>
      <c r="M108" s="32"/>
      <c r="N108" s="32">
        <v>1</v>
      </c>
      <c r="O108" s="32">
        <v>5294</v>
      </c>
      <c r="P108" s="36" t="s">
        <v>43</v>
      </c>
      <c r="Q108" s="38">
        <v>45610</v>
      </c>
      <c r="R108" s="38">
        <v>45623</v>
      </c>
      <c r="S108" s="38">
        <v>45621</v>
      </c>
      <c r="T108" s="12" t="s">
        <v>274</v>
      </c>
      <c r="U108" s="12" t="s">
        <v>116</v>
      </c>
      <c r="V108" s="11"/>
    </row>
    <row r="109" spans="1:22" ht="20.100000000000001" customHeight="1" x14ac:dyDescent="0.2">
      <c r="A109" s="49">
        <v>265453625</v>
      </c>
      <c r="B109" s="35" t="s">
        <v>210</v>
      </c>
      <c r="C109" s="32" t="s">
        <v>158</v>
      </c>
      <c r="D109" s="12" t="s">
        <v>229</v>
      </c>
      <c r="E109" s="12" t="s">
        <v>222</v>
      </c>
      <c r="F109" s="12" t="s">
        <v>159</v>
      </c>
      <c r="G109" s="32" t="s">
        <v>154</v>
      </c>
      <c r="H109" s="32" t="s">
        <v>156</v>
      </c>
      <c r="I109" s="32" t="s">
        <v>160</v>
      </c>
      <c r="J109" s="32">
        <v>80</v>
      </c>
      <c r="K109" s="32" t="s">
        <v>93</v>
      </c>
      <c r="L109" s="31" t="s">
        <v>210</v>
      </c>
      <c r="M109" s="32"/>
      <c r="N109" s="32">
        <v>1</v>
      </c>
      <c r="O109" s="32">
        <v>7396</v>
      </c>
      <c r="P109" s="36" t="s">
        <v>12</v>
      </c>
      <c r="Q109" s="38">
        <v>45613</v>
      </c>
      <c r="R109" s="38">
        <v>45624</v>
      </c>
      <c r="S109" s="38">
        <v>45622</v>
      </c>
      <c r="T109" s="12" t="s">
        <v>274</v>
      </c>
      <c r="U109" s="12" t="s">
        <v>116</v>
      </c>
      <c r="V109" s="11"/>
    </row>
    <row r="110" spans="1:22" ht="20.100000000000001" customHeight="1" x14ac:dyDescent="0.3">
      <c r="A110" s="48">
        <v>1762617</v>
      </c>
      <c r="B110" s="48">
        <v>1306879</v>
      </c>
      <c r="C110" s="32" t="s">
        <v>68</v>
      </c>
      <c r="D110" s="12" t="s">
        <v>229</v>
      </c>
      <c r="E110" s="12" t="s">
        <v>222</v>
      </c>
      <c r="F110" s="12" t="s">
        <v>6</v>
      </c>
      <c r="G110" s="32" t="s">
        <v>78</v>
      </c>
      <c r="H110" s="32" t="s">
        <v>91</v>
      </c>
      <c r="I110" s="32" t="s">
        <v>82</v>
      </c>
      <c r="J110" s="32">
        <v>90</v>
      </c>
      <c r="K110" s="32" t="s">
        <v>94</v>
      </c>
      <c r="L110" s="31" t="s">
        <v>210</v>
      </c>
      <c r="M110" s="32"/>
      <c r="N110" s="32">
        <v>1</v>
      </c>
      <c r="O110" s="32">
        <v>13439</v>
      </c>
      <c r="P110" s="36">
        <v>13575</v>
      </c>
      <c r="Q110" s="38">
        <v>45616</v>
      </c>
      <c r="R110" s="38">
        <v>45631</v>
      </c>
      <c r="S110" s="38">
        <v>45622</v>
      </c>
      <c r="T110" s="12" t="s">
        <v>274</v>
      </c>
      <c r="U110" s="12" t="s">
        <v>116</v>
      </c>
      <c r="V110" s="11"/>
    </row>
    <row r="111" spans="1:22" ht="20.100000000000001" customHeight="1" x14ac:dyDescent="0.25">
      <c r="A111" s="35" t="s">
        <v>210</v>
      </c>
      <c r="B111" s="35" t="s">
        <v>210</v>
      </c>
      <c r="C111" s="32" t="s">
        <v>21</v>
      </c>
      <c r="D111" s="12" t="s">
        <v>24</v>
      </c>
      <c r="E111" s="12" t="s">
        <v>24</v>
      </c>
      <c r="F111" s="12" t="s">
        <v>21</v>
      </c>
      <c r="G111" s="32" t="s">
        <v>78</v>
      </c>
      <c r="H111" s="32" t="s">
        <v>161</v>
      </c>
      <c r="I111" s="32" t="s">
        <v>162</v>
      </c>
      <c r="J111" s="32">
        <v>160</v>
      </c>
      <c r="K111" s="32" t="s">
        <v>94</v>
      </c>
      <c r="L111" s="31" t="s">
        <v>210</v>
      </c>
      <c r="M111" s="32"/>
      <c r="N111" s="32">
        <v>1</v>
      </c>
      <c r="O111" s="32">
        <v>5100</v>
      </c>
      <c r="P111" s="36" t="s">
        <v>43</v>
      </c>
      <c r="Q111" s="38">
        <v>45610</v>
      </c>
      <c r="R111" s="38">
        <v>45634</v>
      </c>
      <c r="S111" s="32" t="s">
        <v>210</v>
      </c>
      <c r="T111" s="32" t="s">
        <v>210</v>
      </c>
      <c r="U111" s="32" t="s">
        <v>210</v>
      </c>
      <c r="V111" s="11"/>
    </row>
    <row r="112" spans="1:22" ht="20.100000000000001" customHeight="1" x14ac:dyDescent="0.25">
      <c r="A112" s="35" t="s">
        <v>210</v>
      </c>
      <c r="B112" s="35" t="s">
        <v>210</v>
      </c>
      <c r="C112" s="32" t="s">
        <v>163</v>
      </c>
      <c r="D112" s="12" t="s">
        <v>26</v>
      </c>
      <c r="E112" s="12" t="s">
        <v>26</v>
      </c>
      <c r="F112" s="12" t="s">
        <v>164</v>
      </c>
      <c r="G112" s="32" t="s">
        <v>154</v>
      </c>
      <c r="H112" s="32" t="s">
        <v>81</v>
      </c>
      <c r="I112" s="32" t="s">
        <v>165</v>
      </c>
      <c r="J112" s="32">
        <v>160</v>
      </c>
      <c r="K112" s="32" t="s">
        <v>102</v>
      </c>
      <c r="L112" s="32" t="s">
        <v>93</v>
      </c>
      <c r="M112" s="32"/>
      <c r="N112" s="32">
        <v>1</v>
      </c>
      <c r="O112" s="32">
        <v>6000</v>
      </c>
      <c r="P112" s="36">
        <v>5800</v>
      </c>
      <c r="Q112" s="38">
        <v>45618</v>
      </c>
      <c r="R112" s="38">
        <v>45628</v>
      </c>
      <c r="S112" s="38">
        <v>45623</v>
      </c>
      <c r="T112" s="12" t="s">
        <v>274</v>
      </c>
      <c r="U112" s="12" t="s">
        <v>116</v>
      </c>
      <c r="V112" s="11"/>
    </row>
    <row r="113" spans="1:22" ht="20.100000000000001" customHeight="1" x14ac:dyDescent="0.3">
      <c r="A113" s="48">
        <v>1765451</v>
      </c>
      <c r="B113" s="48">
        <v>1308241</v>
      </c>
      <c r="C113" s="32" t="s">
        <v>166</v>
      </c>
      <c r="D113" s="12" t="s">
        <v>167</v>
      </c>
      <c r="E113" s="12" t="s">
        <v>167</v>
      </c>
      <c r="F113" s="12" t="s">
        <v>6</v>
      </c>
      <c r="G113" s="32" t="s">
        <v>78</v>
      </c>
      <c r="H113" s="32" t="s">
        <v>161</v>
      </c>
      <c r="I113" s="32" t="s">
        <v>168</v>
      </c>
      <c r="J113" s="32">
        <v>120</v>
      </c>
      <c r="K113" s="32" t="s">
        <v>98</v>
      </c>
      <c r="L113" s="31" t="s">
        <v>210</v>
      </c>
      <c r="M113" s="32"/>
      <c r="N113" s="32">
        <v>1</v>
      </c>
      <c r="O113" s="32">
        <v>10885</v>
      </c>
      <c r="P113" s="36">
        <v>7965</v>
      </c>
      <c r="Q113" s="38">
        <v>45620</v>
      </c>
      <c r="R113" s="38">
        <v>45631</v>
      </c>
      <c r="S113" s="38">
        <v>45636</v>
      </c>
      <c r="T113" s="12" t="s">
        <v>274</v>
      </c>
      <c r="U113" s="12" t="s">
        <v>116</v>
      </c>
      <c r="V113" s="11"/>
    </row>
    <row r="114" spans="1:22" ht="20.100000000000001" customHeight="1" x14ac:dyDescent="0.25">
      <c r="A114" s="35" t="s">
        <v>210</v>
      </c>
      <c r="B114" s="35" t="s">
        <v>210</v>
      </c>
      <c r="C114" s="32" t="s">
        <v>21</v>
      </c>
      <c r="D114" s="12" t="s">
        <v>24</v>
      </c>
      <c r="E114" s="12" t="s">
        <v>24</v>
      </c>
      <c r="F114" s="12" t="s">
        <v>23</v>
      </c>
      <c r="G114" s="32" t="s">
        <v>88</v>
      </c>
      <c r="H114" s="32" t="s">
        <v>169</v>
      </c>
      <c r="I114" s="32" t="s">
        <v>169</v>
      </c>
      <c r="J114" s="31" t="s">
        <v>210</v>
      </c>
      <c r="K114" s="31" t="s">
        <v>210</v>
      </c>
      <c r="L114" s="31" t="s">
        <v>210</v>
      </c>
      <c r="M114" s="32"/>
      <c r="N114" s="32">
        <v>1</v>
      </c>
      <c r="O114" s="32">
        <v>6000</v>
      </c>
      <c r="P114" s="36">
        <v>6000</v>
      </c>
      <c r="Q114" s="38">
        <v>45615</v>
      </c>
      <c r="R114" s="38">
        <v>45631</v>
      </c>
      <c r="S114" s="38">
        <v>45616</v>
      </c>
      <c r="T114" s="12" t="s">
        <v>274</v>
      </c>
      <c r="U114" s="12" t="s">
        <v>116</v>
      </c>
      <c r="V114" s="11"/>
    </row>
    <row r="115" spans="1:22" ht="20.100000000000001" customHeight="1" x14ac:dyDescent="0.3">
      <c r="A115" s="48">
        <v>1782674</v>
      </c>
      <c r="B115" s="44">
        <v>1315860</v>
      </c>
      <c r="C115" s="32" t="s">
        <v>170</v>
      </c>
      <c r="D115" s="12" t="s">
        <v>243</v>
      </c>
      <c r="E115" s="12" t="s">
        <v>233</v>
      </c>
      <c r="F115" s="12" t="s">
        <v>6</v>
      </c>
      <c r="G115" s="32" t="s">
        <v>171</v>
      </c>
      <c r="H115" s="32" t="s">
        <v>171</v>
      </c>
      <c r="I115" s="32" t="s">
        <v>172</v>
      </c>
      <c r="J115" s="31" t="s">
        <v>210</v>
      </c>
      <c r="K115" s="31" t="s">
        <v>210</v>
      </c>
      <c r="L115" s="31" t="s">
        <v>210</v>
      </c>
      <c r="M115" s="32"/>
      <c r="N115" s="32">
        <v>1</v>
      </c>
      <c r="O115" s="32">
        <v>8449</v>
      </c>
      <c r="P115" s="36" t="s">
        <v>12</v>
      </c>
      <c r="Q115" s="38">
        <v>45623</v>
      </c>
      <c r="R115" s="38">
        <v>45636</v>
      </c>
      <c r="S115" s="38">
        <v>45649</v>
      </c>
      <c r="T115" s="31" t="s">
        <v>272</v>
      </c>
      <c r="U115" s="40" t="s">
        <v>116</v>
      </c>
      <c r="V115" s="11"/>
    </row>
    <row r="116" spans="1:22" ht="20.100000000000001" customHeight="1" x14ac:dyDescent="0.3">
      <c r="A116" s="44">
        <v>1781530</v>
      </c>
      <c r="B116" s="48">
        <v>1315450</v>
      </c>
      <c r="C116" s="32" t="s">
        <v>173</v>
      </c>
      <c r="D116" s="12" t="s">
        <v>30</v>
      </c>
      <c r="E116" s="12" t="s">
        <v>30</v>
      </c>
      <c r="F116" s="12" t="s">
        <v>6</v>
      </c>
      <c r="G116" s="32" t="s">
        <v>171</v>
      </c>
      <c r="H116" s="32" t="s">
        <v>174</v>
      </c>
      <c r="I116" s="32" t="s">
        <v>175</v>
      </c>
      <c r="J116" s="31" t="s">
        <v>210</v>
      </c>
      <c r="K116" s="32" t="s">
        <v>93</v>
      </c>
      <c r="L116" s="32" t="s">
        <v>176</v>
      </c>
      <c r="M116" s="32"/>
      <c r="N116" s="32">
        <v>1</v>
      </c>
      <c r="O116" s="32">
        <v>10249</v>
      </c>
      <c r="P116" s="36">
        <v>6211</v>
      </c>
      <c r="Q116" s="38">
        <v>45623</v>
      </c>
      <c r="R116" s="38">
        <v>45636</v>
      </c>
      <c r="S116" s="38">
        <v>45645</v>
      </c>
      <c r="T116" s="12" t="s">
        <v>274</v>
      </c>
      <c r="U116" s="12" t="s">
        <v>116</v>
      </c>
      <c r="V116" s="11"/>
    </row>
    <row r="117" spans="1:22" ht="20.100000000000001" customHeight="1" x14ac:dyDescent="0.25">
      <c r="A117" s="44">
        <v>1795447</v>
      </c>
      <c r="B117" s="44">
        <v>1321584</v>
      </c>
      <c r="C117" s="32" t="s">
        <v>177</v>
      </c>
      <c r="D117" s="12" t="s">
        <v>244</v>
      </c>
      <c r="E117" s="12" t="s">
        <v>224</v>
      </c>
      <c r="F117" s="12" t="s">
        <v>6</v>
      </c>
      <c r="G117" s="32" t="s">
        <v>78</v>
      </c>
      <c r="H117" s="32" t="s">
        <v>91</v>
      </c>
      <c r="I117" s="32" t="s">
        <v>83</v>
      </c>
      <c r="J117" s="32">
        <v>100</v>
      </c>
      <c r="K117" s="32" t="s">
        <v>94</v>
      </c>
      <c r="L117" s="31" t="s">
        <v>210</v>
      </c>
      <c r="M117" s="32"/>
      <c r="N117" s="32">
        <v>1</v>
      </c>
      <c r="O117" s="32">
        <v>14905</v>
      </c>
      <c r="P117" s="36" t="s">
        <v>12</v>
      </c>
      <c r="Q117" s="38">
        <v>45625</v>
      </c>
      <c r="R117" s="38">
        <v>45641</v>
      </c>
      <c r="S117" s="32" t="s">
        <v>113</v>
      </c>
      <c r="T117" s="32" t="s">
        <v>194</v>
      </c>
      <c r="U117" s="12" t="s">
        <v>157</v>
      </c>
      <c r="V117" s="11"/>
    </row>
    <row r="118" spans="1:22" ht="20.100000000000001" customHeight="1" x14ac:dyDescent="0.3">
      <c r="A118" s="48">
        <v>1808440</v>
      </c>
      <c r="B118" s="48">
        <v>1327172</v>
      </c>
      <c r="C118" s="32" t="s">
        <v>178</v>
      </c>
      <c r="D118" s="12" t="s">
        <v>34</v>
      </c>
      <c r="E118" s="12" t="s">
        <v>34</v>
      </c>
      <c r="F118" s="12" t="s">
        <v>6</v>
      </c>
      <c r="G118" s="32" t="s">
        <v>179</v>
      </c>
      <c r="H118" s="32" t="s">
        <v>174</v>
      </c>
      <c r="I118" s="32" t="s">
        <v>175</v>
      </c>
      <c r="J118" s="31" t="s">
        <v>210</v>
      </c>
      <c r="K118" s="32" t="s">
        <v>120</v>
      </c>
      <c r="L118" s="32" t="s">
        <v>180</v>
      </c>
      <c r="M118" s="32"/>
      <c r="N118" s="32">
        <v>1</v>
      </c>
      <c r="O118" s="32">
        <v>10249</v>
      </c>
      <c r="P118" s="36" t="s">
        <v>12</v>
      </c>
      <c r="Q118" s="38">
        <v>45626</v>
      </c>
      <c r="R118" s="38">
        <v>45638</v>
      </c>
      <c r="S118" s="32" t="s">
        <v>210</v>
      </c>
      <c r="T118" s="12" t="s">
        <v>114</v>
      </c>
      <c r="U118" s="12" t="s">
        <v>114</v>
      </c>
      <c r="V118" s="11"/>
    </row>
    <row r="119" spans="1:22" ht="20.100000000000001" customHeight="1" x14ac:dyDescent="0.3">
      <c r="A119" s="44">
        <v>1808441</v>
      </c>
      <c r="B119" s="48">
        <v>1327172</v>
      </c>
      <c r="C119" s="32" t="s">
        <v>181</v>
      </c>
      <c r="D119" s="12" t="s">
        <v>34</v>
      </c>
      <c r="E119" s="12" t="s">
        <v>34</v>
      </c>
      <c r="F119" s="12" t="s">
        <v>182</v>
      </c>
      <c r="G119" s="32" t="s">
        <v>179</v>
      </c>
      <c r="H119" s="32" t="s">
        <v>111</v>
      </c>
      <c r="I119" s="31" t="s">
        <v>210</v>
      </c>
      <c r="J119" s="31" t="s">
        <v>210</v>
      </c>
      <c r="K119" s="32" t="s">
        <v>94</v>
      </c>
      <c r="L119" s="32" t="s">
        <v>183</v>
      </c>
      <c r="M119" s="32"/>
      <c r="N119" s="32">
        <v>1</v>
      </c>
      <c r="O119" s="32">
        <v>9029</v>
      </c>
      <c r="P119" s="36" t="s">
        <v>12</v>
      </c>
      <c r="Q119" s="38">
        <v>45626</v>
      </c>
      <c r="R119" s="38">
        <v>45638</v>
      </c>
      <c r="S119" s="32" t="s">
        <v>210</v>
      </c>
      <c r="T119" s="12" t="s">
        <v>114</v>
      </c>
      <c r="U119" s="12" t="s">
        <v>114</v>
      </c>
      <c r="V119" s="11"/>
    </row>
    <row r="120" spans="1:22" ht="20.100000000000001" customHeight="1" x14ac:dyDescent="0.3">
      <c r="A120" s="48">
        <v>1805052</v>
      </c>
      <c r="B120" s="48">
        <v>1325637</v>
      </c>
      <c r="C120" s="32" t="s">
        <v>184</v>
      </c>
      <c r="D120" s="12" t="s">
        <v>76</v>
      </c>
      <c r="E120" s="12" t="s">
        <v>76</v>
      </c>
      <c r="F120" s="12" t="s">
        <v>182</v>
      </c>
      <c r="G120" s="32" t="s">
        <v>171</v>
      </c>
      <c r="H120" s="12" t="s">
        <v>109</v>
      </c>
      <c r="I120" s="31" t="s">
        <v>210</v>
      </c>
      <c r="J120" s="31" t="s">
        <v>210</v>
      </c>
      <c r="K120" s="32" t="s">
        <v>120</v>
      </c>
      <c r="L120" s="32" t="s">
        <v>185</v>
      </c>
      <c r="M120" s="32"/>
      <c r="N120" s="32">
        <v>1</v>
      </c>
      <c r="O120" s="32">
        <v>9029</v>
      </c>
      <c r="P120" s="36" t="s">
        <v>12</v>
      </c>
      <c r="Q120" s="38">
        <v>45626</v>
      </c>
      <c r="R120" s="38">
        <v>45638</v>
      </c>
      <c r="S120" s="32" t="s">
        <v>210</v>
      </c>
      <c r="T120" s="32" t="s">
        <v>210</v>
      </c>
      <c r="U120" s="32" t="s">
        <v>210</v>
      </c>
      <c r="V120" s="11"/>
    </row>
    <row r="121" spans="1:22" ht="20.100000000000001" customHeight="1" x14ac:dyDescent="0.3">
      <c r="A121" s="48">
        <v>1813823</v>
      </c>
      <c r="B121" s="48">
        <v>1329646</v>
      </c>
      <c r="C121" s="32" t="s">
        <v>186</v>
      </c>
      <c r="D121" s="12" t="s">
        <v>187</v>
      </c>
      <c r="E121" s="12" t="s">
        <v>187</v>
      </c>
      <c r="F121" s="12" t="s">
        <v>6</v>
      </c>
      <c r="G121" s="32" t="s">
        <v>78</v>
      </c>
      <c r="H121" s="32" t="s">
        <v>156</v>
      </c>
      <c r="I121" s="32" t="s">
        <v>80</v>
      </c>
      <c r="J121" s="32">
        <v>80</v>
      </c>
      <c r="K121" s="32" t="s">
        <v>93</v>
      </c>
      <c r="L121" s="31" t="s">
        <v>210</v>
      </c>
      <c r="M121" s="32"/>
      <c r="N121" s="32">
        <v>1</v>
      </c>
      <c r="O121" s="32">
        <v>12099</v>
      </c>
      <c r="P121" s="36" t="s">
        <v>12</v>
      </c>
      <c r="Q121" s="38">
        <v>45628</v>
      </c>
      <c r="R121" s="38">
        <v>45643</v>
      </c>
      <c r="S121" s="32" t="s">
        <v>210</v>
      </c>
      <c r="T121" s="12" t="s">
        <v>114</v>
      </c>
      <c r="U121" s="12" t="s">
        <v>114</v>
      </c>
      <c r="V121" s="11"/>
    </row>
    <row r="122" spans="1:22" ht="20.100000000000001" customHeight="1" x14ac:dyDescent="0.25">
      <c r="A122" s="44">
        <v>7152</v>
      </c>
      <c r="B122" s="35" t="s">
        <v>210</v>
      </c>
      <c r="C122" s="32" t="s">
        <v>42</v>
      </c>
      <c r="D122" s="12" t="s">
        <v>155</v>
      </c>
      <c r="E122" s="12" t="s">
        <v>155</v>
      </c>
      <c r="F122" s="12" t="s">
        <v>29</v>
      </c>
      <c r="G122" s="32" t="s">
        <v>78</v>
      </c>
      <c r="H122" s="32" t="s">
        <v>156</v>
      </c>
      <c r="I122" s="32" t="s">
        <v>160</v>
      </c>
      <c r="J122" s="32">
        <v>90</v>
      </c>
      <c r="K122" s="32" t="s">
        <v>96</v>
      </c>
      <c r="L122" s="31" t="s">
        <v>210</v>
      </c>
      <c r="M122" s="32"/>
      <c r="N122" s="32">
        <v>1</v>
      </c>
      <c r="O122" s="32">
        <v>5217</v>
      </c>
      <c r="P122" s="36" t="s">
        <v>43</v>
      </c>
      <c r="Q122" s="38">
        <v>45627</v>
      </c>
      <c r="R122" s="38">
        <v>45640</v>
      </c>
      <c r="S122" s="38">
        <v>45636</v>
      </c>
      <c r="T122" s="12" t="s">
        <v>274</v>
      </c>
      <c r="U122" s="12" t="s">
        <v>116</v>
      </c>
      <c r="V122" s="11"/>
    </row>
    <row r="123" spans="1:22" ht="20.100000000000001" customHeight="1" x14ac:dyDescent="0.3">
      <c r="A123" s="48">
        <v>1810950</v>
      </c>
      <c r="B123" s="48">
        <v>1328141</v>
      </c>
      <c r="C123" s="32" t="s">
        <v>188</v>
      </c>
      <c r="D123" s="12" t="s">
        <v>71</v>
      </c>
      <c r="E123" s="12" t="s">
        <v>71</v>
      </c>
      <c r="F123" s="12" t="s">
        <v>6</v>
      </c>
      <c r="G123" s="32" t="s">
        <v>154</v>
      </c>
      <c r="H123" s="32" t="s">
        <v>79</v>
      </c>
      <c r="I123" s="31" t="s">
        <v>210</v>
      </c>
      <c r="J123" s="31" t="s">
        <v>210</v>
      </c>
      <c r="K123" s="32" t="s">
        <v>94</v>
      </c>
      <c r="L123" s="32" t="s">
        <v>94</v>
      </c>
      <c r="M123" s="32"/>
      <c r="N123" s="32">
        <v>1</v>
      </c>
      <c r="O123" s="32">
        <v>10249</v>
      </c>
      <c r="P123" s="36">
        <v>6211</v>
      </c>
      <c r="Q123" s="38">
        <v>45630</v>
      </c>
      <c r="R123" s="38">
        <v>45640</v>
      </c>
      <c r="S123" s="38">
        <v>45645</v>
      </c>
      <c r="T123" s="12" t="s">
        <v>274</v>
      </c>
      <c r="U123" s="12" t="s">
        <v>116</v>
      </c>
      <c r="V123" s="11"/>
    </row>
    <row r="124" spans="1:22" ht="20.100000000000001" customHeight="1" x14ac:dyDescent="0.2">
      <c r="A124" s="46">
        <v>240085463</v>
      </c>
      <c r="B124" s="35" t="s">
        <v>210</v>
      </c>
      <c r="C124" s="32" t="s">
        <v>189</v>
      </c>
      <c r="D124" s="12" t="s">
        <v>227</v>
      </c>
      <c r="E124" s="12" t="s">
        <v>228</v>
      </c>
      <c r="F124" s="12" t="s">
        <v>27</v>
      </c>
      <c r="G124" s="32" t="s">
        <v>78</v>
      </c>
      <c r="H124" s="32" t="s">
        <v>91</v>
      </c>
      <c r="I124" s="32" t="s">
        <v>82</v>
      </c>
      <c r="J124" s="31" t="s">
        <v>210</v>
      </c>
      <c r="K124" s="32" t="s">
        <v>94</v>
      </c>
      <c r="L124" s="31" t="s">
        <v>210</v>
      </c>
      <c r="M124" s="32"/>
      <c r="N124" s="32">
        <v>1</v>
      </c>
      <c r="O124" s="32">
        <v>10445</v>
      </c>
      <c r="P124" s="36">
        <v>7707</v>
      </c>
      <c r="Q124" s="38">
        <v>45635</v>
      </c>
      <c r="R124" s="38">
        <v>45657</v>
      </c>
      <c r="S124" s="38">
        <v>45638</v>
      </c>
      <c r="T124" s="12" t="s">
        <v>274</v>
      </c>
      <c r="U124" s="12" t="s">
        <v>116</v>
      </c>
      <c r="V124" s="11"/>
    </row>
    <row r="125" spans="1:22" ht="20.100000000000001" customHeight="1" x14ac:dyDescent="0.3">
      <c r="A125" s="48">
        <v>1818591</v>
      </c>
      <c r="B125" s="48">
        <v>1332300</v>
      </c>
      <c r="C125" s="32" t="s">
        <v>190</v>
      </c>
      <c r="D125" s="12" t="s">
        <v>34</v>
      </c>
      <c r="E125" s="12" t="s">
        <v>34</v>
      </c>
      <c r="F125" s="12" t="s">
        <v>6</v>
      </c>
      <c r="G125" s="32" t="s">
        <v>171</v>
      </c>
      <c r="H125" s="32" t="s">
        <v>191</v>
      </c>
      <c r="I125" s="32" t="s">
        <v>175</v>
      </c>
      <c r="J125" s="31" t="s">
        <v>210</v>
      </c>
      <c r="K125" s="32" t="s">
        <v>120</v>
      </c>
      <c r="L125" s="32" t="s">
        <v>180</v>
      </c>
      <c r="M125" s="32"/>
      <c r="N125" s="32">
        <v>1</v>
      </c>
      <c r="O125" s="32">
        <v>11199</v>
      </c>
      <c r="P125" s="36">
        <v>11257</v>
      </c>
      <c r="Q125" s="38">
        <v>45638</v>
      </c>
      <c r="R125" s="38">
        <v>45650</v>
      </c>
      <c r="S125" s="38">
        <v>45645</v>
      </c>
      <c r="T125" s="12" t="s">
        <v>274</v>
      </c>
      <c r="U125" s="12" t="s">
        <v>116</v>
      </c>
      <c r="V125" s="11"/>
    </row>
    <row r="126" spans="1:22" ht="20.100000000000001" customHeight="1" x14ac:dyDescent="0.25">
      <c r="A126" s="44">
        <v>1818396</v>
      </c>
      <c r="B126" s="44">
        <v>1332179</v>
      </c>
      <c r="C126" s="32" t="s">
        <v>192</v>
      </c>
      <c r="D126" s="12" t="s">
        <v>229</v>
      </c>
      <c r="E126" s="12" t="s">
        <v>222</v>
      </c>
      <c r="F126" s="12" t="s">
        <v>6</v>
      </c>
      <c r="G126" s="32" t="s">
        <v>154</v>
      </c>
      <c r="H126" s="32" t="s">
        <v>91</v>
      </c>
      <c r="I126" s="32" t="s">
        <v>80</v>
      </c>
      <c r="J126" s="32">
        <v>80</v>
      </c>
      <c r="K126" s="32" t="s">
        <v>94</v>
      </c>
      <c r="L126" s="31" t="s">
        <v>210</v>
      </c>
      <c r="M126" s="32"/>
      <c r="N126" s="32">
        <v>1</v>
      </c>
      <c r="O126" s="32">
        <v>13099</v>
      </c>
      <c r="P126" s="36">
        <v>13231</v>
      </c>
      <c r="Q126" s="38">
        <v>45638</v>
      </c>
      <c r="R126" s="38">
        <v>45654</v>
      </c>
      <c r="S126" s="38">
        <v>45655</v>
      </c>
      <c r="T126" s="12" t="s">
        <v>274</v>
      </c>
      <c r="U126" s="12" t="s">
        <v>116</v>
      </c>
      <c r="V126" s="11"/>
    </row>
    <row r="127" spans="1:22" ht="20.100000000000001" customHeight="1" x14ac:dyDescent="0.2">
      <c r="A127" s="46">
        <v>240085758</v>
      </c>
      <c r="B127" s="35" t="s">
        <v>210</v>
      </c>
      <c r="C127" s="32" t="s">
        <v>27</v>
      </c>
      <c r="D127" s="12" t="s">
        <v>240</v>
      </c>
      <c r="E127" s="12" t="s">
        <v>241</v>
      </c>
      <c r="F127" s="12" t="s">
        <v>27</v>
      </c>
      <c r="G127" s="32" t="s">
        <v>88</v>
      </c>
      <c r="H127" s="25" t="s">
        <v>90</v>
      </c>
      <c r="I127" s="32" t="s">
        <v>146</v>
      </c>
      <c r="J127" s="31" t="s">
        <v>210</v>
      </c>
      <c r="K127" s="32" t="s">
        <v>120</v>
      </c>
      <c r="L127" s="32" t="s">
        <v>193</v>
      </c>
      <c r="M127" s="32"/>
      <c r="N127" s="32">
        <v>1</v>
      </c>
      <c r="O127" s="32">
        <v>8700</v>
      </c>
      <c r="P127" s="36" t="s">
        <v>43</v>
      </c>
      <c r="Q127" s="38">
        <v>45640</v>
      </c>
      <c r="R127" s="38">
        <v>45662</v>
      </c>
      <c r="S127" s="38">
        <v>45655</v>
      </c>
      <c r="T127" s="12" t="s">
        <v>274</v>
      </c>
      <c r="U127" s="12" t="s">
        <v>116</v>
      </c>
      <c r="V127" s="11"/>
    </row>
  </sheetData>
  <phoneticPr fontId="13"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2DBF28-3BF7-4E7F-82BC-A072CEDEC7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الارشادات</vt:lpstr>
      <vt:lpstr>pivot table</vt:lpstr>
      <vt:lpstr>DashBoard</vt:lpstr>
      <vt:lpstr>Cleaned</vt:lpstr>
      <vt:lpstr>البيانات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Samaa Abubakr</cp:lastModifiedBy>
  <dcterms:created xsi:type="dcterms:W3CDTF">2015-06-05T18:17:20Z</dcterms:created>
  <dcterms:modified xsi:type="dcterms:W3CDTF">2025-09-13T19:49:53Z</dcterms:modified>
</cp:coreProperties>
</file>